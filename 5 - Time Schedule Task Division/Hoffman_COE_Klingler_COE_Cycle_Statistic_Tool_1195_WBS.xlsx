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<sst xmlns="http://schemas.openxmlformats.org/spreadsheetml/2006/main" count="30" uniqueCount="30">
  <si>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Task Description</t>
  </si>
  <si>
    <t>Optimistic</t>
  </si>
  <si>
    <t>Pessimistic</t>
  </si>
  <si>
    <t>Realistic</t>
  </si>
  <si>
    <t>Actual</t>
  </si>
  <si>
    <t>Variance</t>
  </si>
  <si>
    <t>Research Components</t>
  </si>
  <si>
    <t>Research Bluetooth</t>
  </si>
  <si>
    <t>Research Data Collection</t>
  </si>
  <si>
    <t>Research Data Analysis</t>
  </si>
  <si>
    <t>Research Mobile Development</t>
  </si>
  <si>
    <t>Design Electrical Circuits</t>
  </si>
  <si>
    <t>Design Wind Sensing Unit</t>
  </si>
  <si>
    <t>Design Mobile Application</t>
  </si>
  <si>
    <t>Design Display UI</t>
  </si>
  <si>
    <t>Design System</t>
  </si>
  <si>
    <t>Order Components</t>
  </si>
  <si>
    <t>Test Components</t>
  </si>
  <si>
    <t>Assemble Circuits</t>
  </si>
  <si>
    <t>Code Microcontrollers</t>
  </si>
  <si>
    <t>Code Mobile Application</t>
  </si>
  <si>
    <t>Debugging</t>
  </si>
  <si>
    <t>Assemble Wind Sensing Unit</t>
  </si>
  <si>
    <t>Mount Hardware</t>
  </si>
  <si>
    <t>Weatherproof</t>
  </si>
  <si>
    <t>Test Electrical Circuits</t>
  </si>
  <si>
    <t>Test Bluetooth Communication</t>
  </si>
  <si>
    <t>Test Accuracy</t>
  </si>
  <si>
    <t>Test Durability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</si>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</sst>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57"/>
    <col customWidth="1" min="2" max="2" width="11.0"/>
    <col customWidth="1" min="3" max="3" width="12.0"/>
    <col customWidth="1" min="4" max="4" width="9.86"/>
    <col customWidth="1" min="5" max="5" width="8.57"/>
    <col customWidth="1" min="6" max="6" width="8.86"/>
    <col customWidth="1" min="7" max="7" width="10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4.0</v>
      </c>
      <c r="C2" s="4">
        <v>8.0</v>
      </c>
      <c r="D2" s="4">
        <v>6.0</v>
      </c>
      <c r="E2" s="5">
        <f t="shared" ref="E2:E24" si="1">(B2+4*D2+C2)/6</f>
        <v>6</v>
      </c>
      <c r="F2" s="6">
        <f t="shared" ref="F2:F24" si="2">POW(((C2-B2)/6),2)</f>
        <v>0.4444444444</v>
      </c>
    </row>
    <row r="3">
      <c r="A3" s="3" t="s">
        <v>7</v>
      </c>
      <c r="B3" s="4">
        <v>2.0</v>
      </c>
      <c r="C3" s="4">
        <v>8.0</v>
      </c>
      <c r="D3" s="4">
        <v>6.0</v>
      </c>
      <c r="E3" s="5">
        <f t="shared" si="1"/>
        <v>5.666666667</v>
      </c>
      <c r="F3" s="6">
        <f t="shared" si="2"/>
        <v>1</v>
      </c>
    </row>
    <row r="4">
      <c r="A4" s="3" t="s">
        <v>8</v>
      </c>
      <c r="B4" s="4">
        <v>2.0</v>
      </c>
      <c r="C4" s="4">
        <v>10.0</v>
      </c>
      <c r="D4" s="4">
        <v>6.0</v>
      </c>
      <c r="E4" s="5">
        <f t="shared" si="1"/>
        <v>6</v>
      </c>
      <c r="F4" s="6">
        <f t="shared" si="2"/>
        <v>1.777777778</v>
      </c>
    </row>
    <row r="5">
      <c r="A5" s="3" t="s">
        <v>9</v>
      </c>
      <c r="B5" s="4">
        <v>2.0</v>
      </c>
      <c r="C5" s="4">
        <v>10.0</v>
      </c>
      <c r="D5" s="4">
        <v>6.0</v>
      </c>
      <c r="E5" s="5">
        <f t="shared" si="1"/>
        <v>6</v>
      </c>
      <c r="F5" s="6">
        <f t="shared" si="2"/>
        <v>1.777777778</v>
      </c>
    </row>
    <row r="6">
      <c r="A6" s="3" t="s">
        <v>10</v>
      </c>
      <c r="B6" s="4">
        <v>6.0</v>
      </c>
      <c r="C6" s="4">
        <v>12.0</v>
      </c>
      <c r="D6" s="4">
        <v>10.0</v>
      </c>
      <c r="E6" s="5">
        <f t="shared" si="1"/>
        <v>9.666666667</v>
      </c>
      <c r="F6" s="6">
        <f t="shared" si="2"/>
        <v>1</v>
      </c>
    </row>
    <row r="7">
      <c r="A7" s="3" t="s">
        <v>11</v>
      </c>
      <c r="B7" s="4">
        <v>4.0</v>
      </c>
      <c r="C7" s="4">
        <v>10.0</v>
      </c>
      <c r="D7" s="4">
        <v>6.0</v>
      </c>
      <c r="E7" s="5">
        <f t="shared" si="1"/>
        <v>6.333333333</v>
      </c>
      <c r="F7" s="6">
        <f t="shared" si="2"/>
        <v>1</v>
      </c>
    </row>
    <row r="8">
      <c r="A8" s="3" t="s">
        <v>12</v>
      </c>
      <c r="B8" s="4">
        <v>6.0</v>
      </c>
      <c r="C8" s="4">
        <v>14.0</v>
      </c>
      <c r="D8" s="4">
        <v>8.0</v>
      </c>
      <c r="E8" s="5">
        <f t="shared" si="1"/>
        <v>8.666666667</v>
      </c>
      <c r="F8" s="6">
        <f t="shared" si="2"/>
        <v>1.777777778</v>
      </c>
    </row>
    <row r="9">
      <c r="A9" s="3" t="s">
        <v>13</v>
      </c>
      <c r="B9" s="4">
        <v>6.0</v>
      </c>
      <c r="C9" s="4">
        <v>12.0</v>
      </c>
      <c r="D9" s="4">
        <v>8.0</v>
      </c>
      <c r="E9" s="5">
        <f t="shared" si="1"/>
        <v>8.333333333</v>
      </c>
      <c r="F9" s="6">
        <f t="shared" si="2"/>
        <v>1</v>
      </c>
    </row>
    <row r="10">
      <c r="A10" s="3" t="s">
        <v>14</v>
      </c>
      <c r="B10" s="4">
        <v>2.0</v>
      </c>
      <c r="C10" s="4">
        <v>8.0</v>
      </c>
      <c r="D10" s="4">
        <v>4.0</v>
      </c>
      <c r="E10" s="5">
        <f t="shared" si="1"/>
        <v>4.333333333</v>
      </c>
      <c r="F10" s="6">
        <f t="shared" si="2"/>
        <v>1</v>
      </c>
    </row>
    <row r="11">
      <c r="A11" s="3" t="s">
        <v>15</v>
      </c>
      <c r="B11" s="4">
        <v>4.0</v>
      </c>
      <c r="C11" s="4">
        <v>8.0</v>
      </c>
      <c r="D11" s="4">
        <v>6.0</v>
      </c>
      <c r="E11" s="5">
        <f t="shared" si="1"/>
        <v>6</v>
      </c>
      <c r="F11" s="6">
        <f t="shared" si="2"/>
        <v>0.4444444444</v>
      </c>
    </row>
    <row r="12">
      <c r="A12" s="3" t="s">
        <v>16</v>
      </c>
      <c r="B12" s="4">
        <v>1.0</v>
      </c>
      <c r="C12" s="4">
        <v>4.0</v>
      </c>
      <c r="D12" s="4">
        <v>2.0</v>
      </c>
      <c r="E12" s="5">
        <f t="shared" si="1"/>
        <v>2.166666667</v>
      </c>
      <c r="F12" s="6">
        <f t="shared" si="2"/>
        <v>0.25</v>
      </c>
    </row>
    <row r="13">
      <c r="A13" s="3" t="s">
        <v>17</v>
      </c>
      <c r="B13" s="4">
        <v>8.0</v>
      </c>
      <c r="C13" s="4">
        <v>16.0</v>
      </c>
      <c r="D13" s="4">
        <v>12.0</v>
      </c>
      <c r="E13" s="5">
        <f t="shared" si="1"/>
        <v>12</v>
      </c>
      <c r="F13" s="6">
        <f t="shared" si="2"/>
        <v>1.777777778</v>
      </c>
    </row>
    <row r="14">
      <c r="A14" s="3" t="s">
        <v>18</v>
      </c>
      <c r="B14" s="4">
        <v>6.0</v>
      </c>
      <c r="C14" s="4">
        <v>18.0</v>
      </c>
      <c r="D14" s="4">
        <v>10.0</v>
      </c>
      <c r="E14" s="5">
        <f t="shared" si="1"/>
        <v>10.66666667</v>
      </c>
      <c r="F14" s="6">
        <f t="shared" si="2"/>
        <v>4</v>
      </c>
    </row>
    <row r="15">
      <c r="A15" s="3" t="s">
        <v>19</v>
      </c>
      <c r="B15" s="4">
        <v>30.0</v>
      </c>
      <c r="C15" s="4">
        <v>60.0</v>
      </c>
      <c r="D15" s="4">
        <v>40.0</v>
      </c>
      <c r="E15" s="5">
        <f t="shared" si="1"/>
        <v>41.66666667</v>
      </c>
      <c r="F15" s="6">
        <f t="shared" si="2"/>
        <v>25</v>
      </c>
    </row>
    <row r="16">
      <c r="A16" s="3" t="s">
        <v>20</v>
      </c>
      <c r="B16" s="4">
        <v>30.0</v>
      </c>
      <c r="C16" s="4">
        <v>60.0</v>
      </c>
      <c r="D16" s="4">
        <v>40.0</v>
      </c>
      <c r="E16" s="5">
        <f t="shared" si="1"/>
        <v>41.66666667</v>
      </c>
      <c r="F16" s="6">
        <f t="shared" si="2"/>
        <v>25</v>
      </c>
    </row>
    <row r="17">
      <c r="A17" s="3" t="s">
        <v>21</v>
      </c>
      <c r="B17" s="4">
        <v>30.0</v>
      </c>
      <c r="C17" s="4">
        <v>60.0</v>
      </c>
      <c r="D17" s="4">
        <v>40.0</v>
      </c>
      <c r="E17" s="5">
        <f t="shared" si="1"/>
        <v>41.66666667</v>
      </c>
      <c r="F17" s="6">
        <f t="shared" si="2"/>
        <v>25</v>
      </c>
    </row>
    <row r="18">
      <c r="A18" s="3" t="s">
        <v>22</v>
      </c>
      <c r="B18" s="4">
        <v>8.0</v>
      </c>
      <c r="C18" s="4">
        <v>20.0</v>
      </c>
      <c r="D18" s="4">
        <v>12.0</v>
      </c>
      <c r="E18" s="5">
        <f t="shared" si="1"/>
        <v>12.66666667</v>
      </c>
      <c r="F18" s="6">
        <f t="shared" si="2"/>
        <v>4</v>
      </c>
    </row>
    <row r="19">
      <c r="A19" s="3" t="s">
        <v>23</v>
      </c>
      <c r="B19" s="4">
        <v>8.0</v>
      </c>
      <c r="C19" s="4">
        <v>16.0</v>
      </c>
      <c r="D19" s="4">
        <v>12.0</v>
      </c>
      <c r="E19" s="5">
        <f t="shared" si="1"/>
        <v>12</v>
      </c>
      <c r="F19" s="6">
        <f t="shared" si="2"/>
        <v>1.777777778</v>
      </c>
    </row>
    <row r="20">
      <c r="A20" s="3" t="s">
        <v>24</v>
      </c>
      <c r="B20" s="4">
        <v>2.0</v>
      </c>
      <c r="C20" s="4">
        <v>4.0</v>
      </c>
      <c r="D20" s="4">
        <v>3.0</v>
      </c>
      <c r="E20" s="5">
        <f t="shared" si="1"/>
        <v>3</v>
      </c>
      <c r="F20" s="6">
        <f t="shared" si="2"/>
        <v>0.1111111111</v>
      </c>
    </row>
    <row r="21">
      <c r="A21" s="3" t="s">
        <v>25</v>
      </c>
      <c r="B21" s="4">
        <v>6.0</v>
      </c>
      <c r="C21" s="4">
        <v>25.0</v>
      </c>
      <c r="D21" s="4">
        <v>20.0</v>
      </c>
      <c r="E21" s="5">
        <f t="shared" si="1"/>
        <v>18.5</v>
      </c>
      <c r="F21" s="6">
        <f t="shared" si="2"/>
        <v>10.02777778</v>
      </c>
    </row>
    <row r="22">
      <c r="A22" s="3" t="s">
        <v>26</v>
      </c>
      <c r="B22" s="4">
        <v>2.0</v>
      </c>
      <c r="C22" s="4">
        <v>10.0</v>
      </c>
      <c r="D22" s="4">
        <v>5.0</v>
      </c>
      <c r="E22" s="5">
        <f t="shared" si="1"/>
        <v>5.333333333</v>
      </c>
      <c r="F22" s="6">
        <f t="shared" si="2"/>
        <v>1.777777778</v>
      </c>
    </row>
    <row r="23">
      <c r="A23" s="3" t="s">
        <v>27</v>
      </c>
      <c r="B23" s="4">
        <v>8.0</v>
      </c>
      <c r="C23" s="4">
        <v>24.0</v>
      </c>
      <c r="D23" s="4">
        <v>12.0</v>
      </c>
      <c r="E23" s="5">
        <f t="shared" si="1"/>
        <v>13.33333333</v>
      </c>
      <c r="F23" s="6">
        <f t="shared" si="2"/>
        <v>7.111111111</v>
      </c>
    </row>
    <row r="24">
      <c r="A24" s="3" t="s">
        <v>28</v>
      </c>
      <c r="B24" s="4">
        <v>4.0</v>
      </c>
      <c r="C24" s="4">
        <v>10.0</v>
      </c>
      <c r="D24" s="4">
        <v>6.0</v>
      </c>
      <c r="E24" s="5">
        <f t="shared" si="1"/>
        <v>6.333333333</v>
      </c>
      <c r="F24" s="6">
        <f t="shared" si="2"/>
        <v>1</v>
      </c>
    </row>
    <row r="25">
      <c r="A25" s="1" t="s">
        <v>29</v>
      </c>
      <c r="B25" s="7">
        <f t="shared" ref="B25:E25" si="3">SUM(B2:B24)</f>
        <v>181</v>
      </c>
      <c r="C25" s="7">
        <f t="shared" si="3"/>
        <v>427</v>
      </c>
      <c r="D25" s="7">
        <f t="shared" si="3"/>
        <v>280</v>
      </c>
      <c r="E25" s="8">
        <f t="shared" si="3"/>
        <v>288</v>
      </c>
      <c r="F25" s="7"/>
    </row>
  </sheetData>
  <drawing r:id="rId1"/>
</worksheet>
</file>