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crosoftSpywareXP\Desktop\Academia\4. Senior Project\Functional Requirements\HOQ\"/>
    </mc:Choice>
  </mc:AlternateContent>
  <xr:revisionPtr revIDLastSave="0" documentId="13_ncr:1_{5BA435AF-8838-4B19-A329-481E111C02DE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House of Quality" sheetId="1" r:id="rId1"/>
  </sheets>
  <definedNames>
    <definedName name="_xlnm.Print_Area" localSheetId="0">'House of Quality'!$A$1:$BK$58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3" i="1" l="1" a="1"/>
  <c r="I63" i="1" s="1"/>
  <c r="M63" i="1" a="1"/>
  <c r="M63" i="1" s="1"/>
  <c r="Q63" i="1" a="1"/>
  <c r="Q63" i="1" s="1"/>
  <c r="U63" i="1" a="1"/>
  <c r="U63" i="1" s="1"/>
  <c r="Y63" i="1" a="1"/>
  <c r="Y63" i="1" s="1"/>
  <c r="AC63" i="1" a="1"/>
  <c r="AC63" i="1" s="1"/>
  <c r="AG63" i="1" a="1"/>
  <c r="AG63" i="1" s="1"/>
  <c r="AK63" i="1" a="1"/>
  <c r="AK63" i="1" s="1"/>
  <c r="AO63" i="1" a="1"/>
  <c r="AO63" i="1" s="1"/>
  <c r="AS63" i="1" a="1"/>
  <c r="AS63" i="1" s="1"/>
  <c r="AW63" i="1" a="1"/>
  <c r="AW63" i="1" s="1"/>
  <c r="I64" i="1" a="1"/>
  <c r="I64" i="1" s="1"/>
  <c r="M64" i="1" a="1"/>
  <c r="M64" i="1" s="1"/>
  <c r="Q64" i="1" a="1"/>
  <c r="Q64" i="1" s="1"/>
  <c r="U64" i="1" a="1"/>
  <c r="U64" i="1" s="1"/>
  <c r="Y64" i="1" a="1"/>
  <c r="Y64" i="1" s="1"/>
  <c r="AC64" i="1" a="1"/>
  <c r="AC64" i="1" s="1"/>
  <c r="AG64" i="1" a="1"/>
  <c r="AG64" i="1" s="1"/>
  <c r="AK64" i="1" a="1"/>
  <c r="AK64" i="1" s="1"/>
  <c r="AO64" i="1" a="1"/>
  <c r="AO64" i="1" s="1"/>
  <c r="AS64" i="1" a="1"/>
  <c r="AS64" i="1" s="1"/>
  <c r="AW64" i="1" a="1"/>
  <c r="AW64" i="1" s="1"/>
  <c r="I65" i="1" a="1"/>
  <c r="I65" i="1" s="1"/>
  <c r="M65" i="1" a="1"/>
  <c r="M65" i="1" s="1"/>
  <c r="Q65" i="1" a="1"/>
  <c r="Q65" i="1" s="1"/>
  <c r="U65" i="1" a="1"/>
  <c r="U65" i="1" s="1"/>
  <c r="Y65" i="1" a="1"/>
  <c r="Y65" i="1" s="1"/>
  <c r="AC65" i="1" a="1"/>
  <c r="AC65" i="1" s="1"/>
  <c r="AG65" i="1" a="1"/>
  <c r="AG65" i="1" s="1"/>
  <c r="AK65" i="1" a="1"/>
  <c r="AK65" i="1" s="1"/>
  <c r="AO65" i="1" a="1"/>
  <c r="AO65" i="1" s="1"/>
  <c r="AS65" i="1" a="1"/>
  <c r="AS65" i="1" s="1"/>
  <c r="AW65" i="1" a="1"/>
  <c r="AW65" i="1" s="1"/>
  <c r="I66" i="1" a="1"/>
  <c r="I66" i="1" s="1"/>
  <c r="M66" i="1" a="1"/>
  <c r="M66" i="1" s="1"/>
  <c r="Q66" i="1" a="1"/>
  <c r="Q66" i="1" s="1"/>
  <c r="U66" i="1" a="1"/>
  <c r="U66" i="1" s="1"/>
  <c r="Y66" i="1" a="1"/>
  <c r="Y66" i="1" s="1"/>
  <c r="AC66" i="1" a="1"/>
  <c r="AC66" i="1" s="1"/>
  <c r="AG66" i="1" a="1"/>
  <c r="AG66" i="1" s="1"/>
  <c r="AK66" i="1" a="1"/>
  <c r="AK66" i="1" s="1"/>
  <c r="AO66" i="1" a="1"/>
  <c r="AO66" i="1" s="1"/>
  <c r="AS66" i="1" a="1"/>
  <c r="AS66" i="1" s="1"/>
  <c r="AW66" i="1" a="1"/>
  <c r="AW66" i="1" s="1"/>
  <c r="I67" i="1" a="1"/>
  <c r="I67" i="1" s="1"/>
  <c r="M67" i="1" a="1"/>
  <c r="M67" i="1" s="1"/>
  <c r="Q67" i="1" a="1"/>
  <c r="Q67" i="1" s="1"/>
  <c r="U67" i="1" a="1"/>
  <c r="U67" i="1" s="1"/>
  <c r="Y67" i="1" a="1"/>
  <c r="Y67" i="1" s="1"/>
  <c r="AC67" i="1" a="1"/>
  <c r="AC67" i="1" s="1"/>
  <c r="AG67" i="1" a="1"/>
  <c r="AG67" i="1" s="1"/>
  <c r="AK67" i="1" a="1"/>
  <c r="AK67" i="1" s="1"/>
  <c r="AO67" i="1" a="1"/>
  <c r="AO67" i="1" s="1"/>
  <c r="AS67" i="1" a="1"/>
  <c r="AS67" i="1" s="1"/>
  <c r="AW67" i="1" a="1"/>
  <c r="AW67" i="1" s="1"/>
  <c r="I68" i="1" a="1"/>
  <c r="I68" i="1" s="1"/>
  <c r="M68" i="1" a="1"/>
  <c r="M68" i="1" s="1"/>
  <c r="Q68" i="1" a="1"/>
  <c r="Q68" i="1" s="1"/>
  <c r="U68" i="1" a="1"/>
  <c r="U68" i="1" s="1"/>
  <c r="Y68" i="1" a="1"/>
  <c r="Y68" i="1" s="1"/>
  <c r="AC68" i="1" a="1"/>
  <c r="AC68" i="1" s="1"/>
  <c r="AG68" i="1" a="1"/>
  <c r="AG68" i="1" s="1"/>
  <c r="AK68" i="1" a="1"/>
  <c r="AK68" i="1" s="1"/>
  <c r="AO68" i="1" a="1"/>
  <c r="AO68" i="1" s="1"/>
  <c r="AS68" i="1" a="1"/>
  <c r="AS68" i="1" s="1"/>
  <c r="AW68" i="1" a="1"/>
  <c r="AW68" i="1" s="1"/>
  <c r="I69" i="1" a="1"/>
  <c r="I69" i="1" s="1"/>
  <c r="M69" i="1" a="1"/>
  <c r="M69" i="1" s="1"/>
  <c r="Q69" i="1" a="1"/>
  <c r="Q69" i="1" s="1"/>
  <c r="U69" i="1" a="1"/>
  <c r="U69" i="1" s="1"/>
  <c r="Y69" i="1" a="1"/>
  <c r="Y69" i="1" s="1"/>
  <c r="AC69" i="1" a="1"/>
  <c r="AC69" i="1" s="1"/>
  <c r="AG69" i="1" a="1"/>
  <c r="AG69" i="1" s="1"/>
  <c r="AK69" i="1" a="1"/>
  <c r="AK69" i="1" s="1"/>
  <c r="AO69" i="1" a="1"/>
  <c r="AO69" i="1" s="1"/>
  <c r="AS69" i="1" a="1"/>
  <c r="AS69" i="1" s="1"/>
  <c r="AW69" i="1" a="1"/>
  <c r="AW69" i="1" s="1"/>
  <c r="I70" i="1" a="1"/>
  <c r="I70" i="1" s="1"/>
  <c r="M70" i="1" a="1"/>
  <c r="M70" i="1" s="1"/>
  <c r="Q70" i="1" a="1"/>
  <c r="Q70" i="1" s="1"/>
  <c r="U70" i="1" a="1"/>
  <c r="U70" i="1" s="1"/>
  <c r="Y70" i="1" a="1"/>
  <c r="Y70" i="1" s="1"/>
  <c r="AC70" i="1" a="1"/>
  <c r="AC70" i="1" s="1"/>
  <c r="AG70" i="1" a="1"/>
  <c r="AG70" i="1" s="1"/>
  <c r="AK70" i="1" a="1"/>
  <c r="AK70" i="1" s="1"/>
  <c r="AO70" i="1" a="1"/>
  <c r="AO70" i="1" s="1"/>
  <c r="AS70" i="1" a="1"/>
  <c r="AS70" i="1" s="1"/>
  <c r="AW70" i="1" a="1"/>
  <c r="AW70" i="1" s="1"/>
  <c r="I71" i="1" a="1"/>
  <c r="I71" i="1" s="1"/>
  <c r="M71" i="1" a="1"/>
  <c r="M71" i="1" s="1"/>
  <c r="Q71" i="1" a="1"/>
  <c r="Q71" i="1" s="1"/>
  <c r="U71" i="1" a="1"/>
  <c r="U71" i="1" s="1"/>
  <c r="Y71" i="1" a="1"/>
  <c r="Y71" i="1" s="1"/>
  <c r="AC71" i="1" a="1"/>
  <c r="AC71" i="1" s="1"/>
  <c r="AG71" i="1" a="1"/>
  <c r="AG71" i="1" s="1"/>
  <c r="AK71" i="1" a="1"/>
  <c r="AK71" i="1" s="1"/>
  <c r="AO71" i="1" a="1"/>
  <c r="AO71" i="1" s="1"/>
  <c r="AS71" i="1" a="1"/>
  <c r="AS71" i="1" s="1"/>
  <c r="AW71" i="1" a="1"/>
  <c r="AW71" i="1" s="1"/>
  <c r="I72" i="1" a="1"/>
  <c r="I72" i="1" s="1"/>
  <c r="M72" i="1" a="1"/>
  <c r="M72" i="1" s="1"/>
  <c r="Q72" i="1" a="1"/>
  <c r="Q72" i="1" s="1"/>
  <c r="U72" i="1" a="1"/>
  <c r="U72" i="1" s="1"/>
  <c r="Y72" i="1" a="1"/>
  <c r="Y72" i="1" s="1"/>
  <c r="AC72" i="1" a="1"/>
  <c r="AC72" i="1" s="1"/>
  <c r="AG72" i="1" a="1"/>
  <c r="AG72" i="1" s="1"/>
  <c r="AK72" i="1" a="1"/>
  <c r="AK72" i="1" s="1"/>
  <c r="AO72" i="1" a="1"/>
  <c r="AO72" i="1" s="1"/>
  <c r="AS72" i="1" a="1"/>
  <c r="AS72" i="1" s="1"/>
  <c r="AW72" i="1" a="1"/>
  <c r="AW72" i="1" s="1"/>
  <c r="I73" i="1" a="1"/>
  <c r="I73" i="1" s="1"/>
  <c r="M73" i="1" a="1"/>
  <c r="M73" i="1" s="1"/>
  <c r="Q73" i="1" a="1"/>
  <c r="Q73" i="1" s="1"/>
  <c r="U73" i="1" a="1"/>
  <c r="U73" i="1" s="1"/>
  <c r="Y73" i="1" a="1"/>
  <c r="Y73" i="1" s="1"/>
  <c r="AC73" i="1" a="1"/>
  <c r="AC73" i="1" s="1"/>
  <c r="AG73" i="1" a="1"/>
  <c r="AG73" i="1" s="1"/>
  <c r="AK73" i="1" a="1"/>
  <c r="AK73" i="1" s="1"/>
  <c r="AO73" i="1" a="1"/>
  <c r="AO73" i="1" s="1"/>
  <c r="AS73" i="1" a="1"/>
  <c r="AS73" i="1" s="1"/>
  <c r="AW73" i="1" a="1"/>
  <c r="AW73" i="1" s="1"/>
  <c r="I74" i="1" a="1"/>
  <c r="I74" i="1" s="1"/>
  <c r="M74" i="1" a="1"/>
  <c r="M74" i="1" s="1"/>
  <c r="Q74" i="1" a="1"/>
  <c r="Q74" i="1" s="1"/>
  <c r="U74" i="1" a="1"/>
  <c r="U74" i="1" s="1"/>
  <c r="Y74" i="1" a="1"/>
  <c r="Y74" i="1" s="1"/>
  <c r="AC74" i="1" a="1"/>
  <c r="AC74" i="1" s="1"/>
  <c r="AG74" i="1" a="1"/>
  <c r="AG74" i="1" s="1"/>
  <c r="AK74" i="1" a="1"/>
  <c r="AK74" i="1" s="1"/>
  <c r="AO74" i="1" a="1"/>
  <c r="AO74" i="1" s="1"/>
  <c r="AS74" i="1" a="1"/>
  <c r="AS74" i="1" s="1"/>
  <c r="AW74" i="1" a="1"/>
  <c r="AW74" i="1" s="1"/>
  <c r="I75" i="1" a="1"/>
  <c r="I75" i="1" s="1"/>
  <c r="M75" i="1" a="1"/>
  <c r="M75" i="1" s="1"/>
  <c r="Q75" i="1" a="1"/>
  <c r="Q75" i="1" s="1"/>
  <c r="U75" i="1" a="1"/>
  <c r="U75" i="1" s="1"/>
  <c r="Y75" i="1" a="1"/>
  <c r="Y75" i="1" s="1"/>
  <c r="AC75" i="1" a="1"/>
  <c r="AC75" i="1" s="1"/>
  <c r="AG75" i="1" a="1"/>
  <c r="AG75" i="1" s="1"/>
  <c r="AK75" i="1" a="1"/>
  <c r="AK75" i="1" s="1"/>
  <c r="AO75" i="1" a="1"/>
  <c r="AO75" i="1" s="1"/>
  <c r="AS75" i="1" a="1"/>
  <c r="AS75" i="1" s="1"/>
  <c r="AW75" i="1" a="1"/>
  <c r="AW75" i="1" s="1"/>
  <c r="I76" i="1" a="1"/>
  <c r="I76" i="1" s="1"/>
  <c r="M76" i="1" a="1"/>
  <c r="M76" i="1" s="1"/>
  <c r="Q76" i="1" a="1"/>
  <c r="Q76" i="1" s="1"/>
  <c r="U76" i="1" a="1"/>
  <c r="U76" i="1" s="1"/>
  <c r="Y76" i="1" a="1"/>
  <c r="Y76" i="1" s="1"/>
  <c r="AC76" i="1" a="1"/>
  <c r="AC76" i="1" s="1"/>
  <c r="AG76" i="1" a="1"/>
  <c r="AG76" i="1" s="1"/>
  <c r="AK76" i="1" a="1"/>
  <c r="AK76" i="1" s="1"/>
  <c r="AO76" i="1" a="1"/>
  <c r="AO76" i="1" s="1"/>
  <c r="AS76" i="1" a="1"/>
  <c r="AS76" i="1" s="1"/>
  <c r="AW76" i="1" a="1"/>
  <c r="AW76" i="1" s="1"/>
  <c r="I77" i="1" a="1"/>
  <c r="I77" i="1" s="1"/>
  <c r="M77" i="1" a="1"/>
  <c r="M77" i="1" s="1"/>
  <c r="Q77" i="1" a="1"/>
  <c r="Q77" i="1" s="1"/>
  <c r="U77" i="1" a="1"/>
  <c r="U77" i="1" s="1"/>
  <c r="Y77" i="1" a="1"/>
  <c r="Y77" i="1" s="1"/>
  <c r="AC77" i="1" a="1"/>
  <c r="AC77" i="1" s="1"/>
  <c r="AG77" i="1" a="1"/>
  <c r="AG77" i="1" s="1"/>
  <c r="AK77" i="1" a="1"/>
  <c r="AK77" i="1" s="1"/>
  <c r="AO77" i="1" a="1"/>
  <c r="AO77" i="1" s="1"/>
  <c r="AS77" i="1" a="1"/>
  <c r="AS77" i="1" s="1"/>
  <c r="AW77" i="1" a="1"/>
  <c r="AW77" i="1" s="1"/>
  <c r="M62" i="1" a="1"/>
  <c r="M62" i="1" s="1"/>
  <c r="Q62" i="1" a="1"/>
  <c r="Q62" i="1" s="1"/>
  <c r="U62" i="1" a="1"/>
  <c r="U62" i="1" s="1"/>
  <c r="Y62" i="1" a="1"/>
  <c r="Y62" i="1" s="1"/>
  <c r="AC62" i="1" a="1"/>
  <c r="AC62" i="1" s="1"/>
  <c r="AG62" i="1" a="1"/>
  <c r="AG62" i="1" s="1"/>
  <c r="AK62" i="1" a="1"/>
  <c r="AK62" i="1" s="1"/>
  <c r="AO62" i="1" a="1"/>
  <c r="AO62" i="1" s="1"/>
  <c r="AS62" i="1" a="1"/>
  <c r="AS62" i="1" s="1"/>
  <c r="AW62" i="1" a="1"/>
  <c r="AW62" i="1" s="1"/>
  <c r="I62" i="1" a="1"/>
  <c r="I62" i="1" s="1"/>
  <c r="F57" i="1"/>
  <c r="H129" i="1" s="1"/>
  <c r="F56" i="1"/>
  <c r="H112" i="1" s="1"/>
  <c r="F55" i="1"/>
  <c r="H95" i="1" s="1"/>
  <c r="F54" i="1"/>
  <c r="H78" i="1" s="1"/>
  <c r="AC141" i="1" l="1"/>
  <c r="AC124" i="1"/>
  <c r="AC107" i="1"/>
  <c r="AC90" i="1"/>
  <c r="AK135" i="1"/>
  <c r="AK118" i="1"/>
  <c r="AK101" i="1"/>
  <c r="AK84" i="1"/>
  <c r="AG144" i="1"/>
  <c r="AG127" i="1"/>
  <c r="AG110" i="1"/>
  <c r="AG93" i="1"/>
  <c r="I129" i="1"/>
  <c r="I112" i="1"/>
  <c r="I95" i="1"/>
  <c r="I111" i="1" s="1"/>
  <c r="I78" i="1"/>
  <c r="U129" i="1"/>
  <c r="U112" i="1"/>
  <c r="U95" i="1"/>
  <c r="U78" i="1"/>
  <c r="AC144" i="1"/>
  <c r="AC127" i="1"/>
  <c r="AC110" i="1"/>
  <c r="AC93" i="1"/>
  <c r="AO143" i="1"/>
  <c r="AO126" i="1"/>
  <c r="AO109" i="1"/>
  <c r="AO92" i="1"/>
  <c r="I143" i="1"/>
  <c r="I126" i="1"/>
  <c r="I109" i="1"/>
  <c r="I92" i="1"/>
  <c r="U142" i="1"/>
  <c r="U125" i="1"/>
  <c r="U108" i="1"/>
  <c r="U91" i="1"/>
  <c r="AG141" i="1"/>
  <c r="AG124" i="1"/>
  <c r="AG107" i="1"/>
  <c r="AG90" i="1"/>
  <c r="AS140" i="1"/>
  <c r="AS123" i="1"/>
  <c r="AS106" i="1"/>
  <c r="AS89" i="1"/>
  <c r="M140" i="1"/>
  <c r="M123" i="1"/>
  <c r="M106" i="1"/>
  <c r="M89" i="1"/>
  <c r="Y139" i="1"/>
  <c r="Y122" i="1"/>
  <c r="Y105" i="1"/>
  <c r="Y88" i="1"/>
  <c r="AK138" i="1"/>
  <c r="AK121" i="1"/>
  <c r="AK104" i="1"/>
  <c r="AK87" i="1"/>
  <c r="AW137" i="1"/>
  <c r="AW120" i="1"/>
  <c r="AW103" i="1"/>
  <c r="AW86" i="1"/>
  <c r="Q137" i="1"/>
  <c r="Q120" i="1"/>
  <c r="Q103" i="1"/>
  <c r="Q86" i="1"/>
  <c r="AC136" i="1"/>
  <c r="AC119" i="1"/>
  <c r="AC102" i="1"/>
  <c r="AC85" i="1"/>
  <c r="AO135" i="1"/>
  <c r="AO118" i="1"/>
  <c r="AO101" i="1"/>
  <c r="AO84" i="1"/>
  <c r="I135" i="1"/>
  <c r="I118" i="1"/>
  <c r="I101" i="1"/>
  <c r="I84" i="1"/>
  <c r="U134" i="1"/>
  <c r="U117" i="1"/>
  <c r="U100" i="1"/>
  <c r="U111" i="1" s="1"/>
  <c r="U83" i="1"/>
  <c r="AG133" i="1"/>
  <c r="AG116" i="1"/>
  <c r="AG99" i="1"/>
  <c r="AG82" i="1"/>
  <c r="AS132" i="1"/>
  <c r="AS115" i="1"/>
  <c r="AS98" i="1"/>
  <c r="AS81" i="1"/>
  <c r="M132" i="1"/>
  <c r="M115" i="1"/>
  <c r="M98" i="1"/>
  <c r="M81" i="1"/>
  <c r="Y131" i="1"/>
  <c r="Y114" i="1"/>
  <c r="Y97" i="1"/>
  <c r="Y80" i="1"/>
  <c r="AK130" i="1"/>
  <c r="AK113" i="1"/>
  <c r="AK96" i="1"/>
  <c r="AK79" i="1"/>
  <c r="AW129" i="1"/>
  <c r="AW112" i="1"/>
  <c r="AW95" i="1"/>
  <c r="AW111" i="1" s="1"/>
  <c r="AW78" i="1"/>
  <c r="AO140" i="1"/>
  <c r="AO123" i="1"/>
  <c r="AO106" i="1"/>
  <c r="AO89" i="1"/>
  <c r="M137" i="1"/>
  <c r="M120" i="1"/>
  <c r="M103" i="1"/>
  <c r="M86" i="1"/>
  <c r="Q134" i="1"/>
  <c r="Q117" i="1"/>
  <c r="Q100" i="1"/>
  <c r="Q83" i="1"/>
  <c r="AO132" i="1"/>
  <c r="AO115" i="1"/>
  <c r="AO98" i="1"/>
  <c r="AO81" i="1"/>
  <c r="U131" i="1"/>
  <c r="U114" i="1"/>
  <c r="U97" i="1"/>
  <c r="U80" i="1"/>
  <c r="AS129" i="1"/>
  <c r="AS112" i="1"/>
  <c r="AS95" i="1"/>
  <c r="AS111" i="1" s="1"/>
  <c r="AS78" i="1"/>
  <c r="M129" i="1"/>
  <c r="M112" i="1"/>
  <c r="M95" i="1"/>
  <c r="M78" i="1"/>
  <c r="U144" i="1"/>
  <c r="U127" i="1"/>
  <c r="U110" i="1"/>
  <c r="U93" i="1"/>
  <c r="AG143" i="1"/>
  <c r="AG126" i="1"/>
  <c r="AG109" i="1"/>
  <c r="AG92" i="1"/>
  <c r="AS142" i="1"/>
  <c r="AS125" i="1"/>
  <c r="AS108" i="1"/>
  <c r="AS91" i="1"/>
  <c r="M142" i="1"/>
  <c r="M125" i="1"/>
  <c r="M108" i="1"/>
  <c r="M91" i="1"/>
  <c r="Y141" i="1"/>
  <c r="Y124" i="1"/>
  <c r="Y107" i="1"/>
  <c r="Y90" i="1"/>
  <c r="AK140" i="1"/>
  <c r="AK123" i="1"/>
  <c r="AK106" i="1"/>
  <c r="AK89" i="1"/>
  <c r="AW139" i="1"/>
  <c r="AW122" i="1"/>
  <c r="AW105" i="1"/>
  <c r="AW88" i="1"/>
  <c r="Q139" i="1"/>
  <c r="Q122" i="1"/>
  <c r="Q105" i="1"/>
  <c r="Q88" i="1"/>
  <c r="AC138" i="1"/>
  <c r="AC121" i="1"/>
  <c r="AC104" i="1"/>
  <c r="AC87" i="1"/>
  <c r="AO137" i="1"/>
  <c r="AO120" i="1"/>
  <c r="AO103" i="1"/>
  <c r="AO86" i="1"/>
  <c r="I137" i="1"/>
  <c r="I120" i="1"/>
  <c r="I103" i="1"/>
  <c r="I86" i="1"/>
  <c r="U136" i="1"/>
  <c r="U119" i="1"/>
  <c r="U102" i="1"/>
  <c r="U85" i="1"/>
  <c r="AG135" i="1"/>
  <c r="AG118" i="1"/>
  <c r="AG101" i="1"/>
  <c r="AG84" i="1"/>
  <c r="AS134" i="1"/>
  <c r="AS117" i="1"/>
  <c r="AS100" i="1"/>
  <c r="AS83" i="1"/>
  <c r="M134" i="1"/>
  <c r="M117" i="1"/>
  <c r="M100" i="1"/>
  <c r="M83" i="1"/>
  <c r="Y133" i="1"/>
  <c r="Y116" i="1"/>
  <c r="Y99" i="1"/>
  <c r="Y82" i="1"/>
  <c r="AK132" i="1"/>
  <c r="AK115" i="1"/>
  <c r="AK98" i="1"/>
  <c r="AK81" i="1"/>
  <c r="AW131" i="1"/>
  <c r="AW114" i="1"/>
  <c r="AW97" i="1"/>
  <c r="AW80" i="1"/>
  <c r="Q131" i="1"/>
  <c r="Q114" i="1"/>
  <c r="Q97" i="1"/>
  <c r="Q80" i="1"/>
  <c r="AC130" i="1"/>
  <c r="AC113" i="1"/>
  <c r="AC96" i="1"/>
  <c r="AC79" i="1"/>
  <c r="Q142" i="1"/>
  <c r="Q125" i="1"/>
  <c r="Q108" i="1"/>
  <c r="Q91" i="1"/>
  <c r="AG138" i="1"/>
  <c r="AG121" i="1"/>
  <c r="AG104" i="1"/>
  <c r="AG87" i="1"/>
  <c r="AC133" i="1"/>
  <c r="AC116" i="1"/>
  <c r="AC99" i="1"/>
  <c r="AC82" i="1"/>
  <c r="AG130" i="1"/>
  <c r="AG113" i="1"/>
  <c r="AG96" i="1"/>
  <c r="AG79" i="1"/>
  <c r="AO129" i="1"/>
  <c r="AO112" i="1"/>
  <c r="AO95" i="1"/>
  <c r="AO111" i="1" s="1"/>
  <c r="AO78" i="1"/>
  <c r="AW144" i="1"/>
  <c r="AW127" i="1"/>
  <c r="AW110" i="1"/>
  <c r="AW93" i="1"/>
  <c r="Q144" i="1"/>
  <c r="Q127" i="1"/>
  <c r="Q110" i="1"/>
  <c r="Q93" i="1"/>
  <c r="AC143" i="1"/>
  <c r="AC126" i="1"/>
  <c r="AC109" i="1"/>
  <c r="AC92" i="1"/>
  <c r="AO142" i="1"/>
  <c r="AO125" i="1"/>
  <c r="AO108" i="1"/>
  <c r="AO91" i="1"/>
  <c r="I142" i="1"/>
  <c r="I125" i="1"/>
  <c r="I108" i="1"/>
  <c r="I91" i="1"/>
  <c r="U141" i="1"/>
  <c r="U124" i="1"/>
  <c r="U107" i="1"/>
  <c r="U90" i="1"/>
  <c r="AG140" i="1"/>
  <c r="AG123" i="1"/>
  <c r="AG106" i="1"/>
  <c r="AG89" i="1"/>
  <c r="AS139" i="1"/>
  <c r="AS122" i="1"/>
  <c r="AS105" i="1"/>
  <c r="AS88" i="1"/>
  <c r="M139" i="1"/>
  <c r="M122" i="1"/>
  <c r="M105" i="1"/>
  <c r="M88" i="1"/>
  <c r="Y138" i="1"/>
  <c r="Y121" i="1"/>
  <c r="Y104" i="1"/>
  <c r="Y87" i="1"/>
  <c r="AK137" i="1"/>
  <c r="AK120" i="1"/>
  <c r="AK103" i="1"/>
  <c r="AK86" i="1"/>
  <c r="AW136" i="1"/>
  <c r="AW119" i="1"/>
  <c r="AW102" i="1"/>
  <c r="AW85" i="1"/>
  <c r="Q136" i="1"/>
  <c r="Q119" i="1"/>
  <c r="Q102" i="1"/>
  <c r="Q85" i="1"/>
  <c r="AC135" i="1"/>
  <c r="AC118" i="1"/>
  <c r="AC101" i="1"/>
  <c r="AC84" i="1"/>
  <c r="AO134" i="1"/>
  <c r="AO117" i="1"/>
  <c r="AO100" i="1"/>
  <c r="AO83" i="1"/>
  <c r="I134" i="1"/>
  <c r="I117" i="1"/>
  <c r="I100" i="1"/>
  <c r="I83" i="1"/>
  <c r="U133" i="1"/>
  <c r="U116" i="1"/>
  <c r="U99" i="1"/>
  <c r="U82" i="1"/>
  <c r="AG132" i="1"/>
  <c r="AG115" i="1"/>
  <c r="AG98" i="1"/>
  <c r="AG81" i="1"/>
  <c r="AS131" i="1"/>
  <c r="AS114" i="1"/>
  <c r="AS97" i="1"/>
  <c r="AS80" i="1"/>
  <c r="M131" i="1"/>
  <c r="M114" i="1"/>
  <c r="M97" i="1"/>
  <c r="M80" i="1"/>
  <c r="Y130" i="1"/>
  <c r="Y113" i="1"/>
  <c r="Y96" i="1"/>
  <c r="Y79" i="1"/>
  <c r="Y144" i="1"/>
  <c r="Y127" i="1"/>
  <c r="Y110" i="1"/>
  <c r="Y93" i="1"/>
  <c r="Y136" i="1"/>
  <c r="Y119" i="1"/>
  <c r="Y102" i="1"/>
  <c r="Y85" i="1"/>
  <c r="AK95" i="1"/>
  <c r="AK78" i="1"/>
  <c r="AK112" i="1"/>
  <c r="AK129" i="1"/>
  <c r="AS110" i="1"/>
  <c r="AS127" i="1"/>
  <c r="AS93" i="1"/>
  <c r="AS144" i="1"/>
  <c r="M127" i="1"/>
  <c r="M93" i="1"/>
  <c r="M144" i="1"/>
  <c r="M110" i="1"/>
  <c r="Y126" i="1"/>
  <c r="Y143" i="1"/>
  <c r="Y92" i="1"/>
  <c r="Y109" i="1"/>
  <c r="AK142" i="1"/>
  <c r="AK91" i="1"/>
  <c r="AK108" i="1"/>
  <c r="AK125" i="1"/>
  <c r="AW141" i="1"/>
  <c r="AW90" i="1"/>
  <c r="AW124" i="1"/>
  <c r="AW107" i="1"/>
  <c r="Q107" i="1"/>
  <c r="Q124" i="1"/>
  <c r="Q141" i="1"/>
  <c r="Q90" i="1"/>
  <c r="AC106" i="1"/>
  <c r="AC123" i="1"/>
  <c r="AC140" i="1"/>
  <c r="AC89" i="1"/>
  <c r="AO105" i="1"/>
  <c r="AO122" i="1"/>
  <c r="AO88" i="1"/>
  <c r="AO139" i="1"/>
  <c r="I105" i="1"/>
  <c r="I88" i="1"/>
  <c r="I122" i="1"/>
  <c r="I139" i="1"/>
  <c r="U121" i="1"/>
  <c r="U138" i="1"/>
  <c r="U104" i="1"/>
  <c r="U87" i="1"/>
  <c r="AG120" i="1"/>
  <c r="AG137" i="1"/>
  <c r="AG86" i="1"/>
  <c r="AG103" i="1"/>
  <c r="AS136" i="1"/>
  <c r="AS85" i="1"/>
  <c r="AS102" i="1"/>
  <c r="AS119" i="1"/>
  <c r="M136" i="1"/>
  <c r="M85" i="1"/>
  <c r="M119" i="1"/>
  <c r="M102" i="1"/>
  <c r="Y101" i="1"/>
  <c r="Y118" i="1"/>
  <c r="Y135" i="1"/>
  <c r="Y145" i="1" s="1"/>
  <c r="Y84" i="1"/>
  <c r="AK100" i="1"/>
  <c r="AK117" i="1"/>
  <c r="AK83" i="1"/>
  <c r="AK134" i="1"/>
  <c r="AW99" i="1"/>
  <c r="AW116" i="1"/>
  <c r="AW82" i="1"/>
  <c r="AW133" i="1"/>
  <c r="Q99" i="1"/>
  <c r="Q82" i="1"/>
  <c r="Q116" i="1"/>
  <c r="Q133" i="1"/>
  <c r="AC115" i="1"/>
  <c r="AC132" i="1"/>
  <c r="AC98" i="1"/>
  <c r="AC81" i="1"/>
  <c r="AO114" i="1"/>
  <c r="AO97" i="1"/>
  <c r="AO131" i="1"/>
  <c r="AO80" i="1"/>
  <c r="I131" i="1"/>
  <c r="I80" i="1"/>
  <c r="I97" i="1"/>
  <c r="I114" i="1"/>
  <c r="U130" i="1"/>
  <c r="U79" i="1"/>
  <c r="U113" i="1"/>
  <c r="U96" i="1"/>
  <c r="Q129" i="1"/>
  <c r="Q112" i="1"/>
  <c r="Q95" i="1"/>
  <c r="Q111" i="1" s="1"/>
  <c r="Q78" i="1"/>
  <c r="I140" i="1"/>
  <c r="I123" i="1"/>
  <c r="I106" i="1"/>
  <c r="I89" i="1"/>
  <c r="AS137" i="1"/>
  <c r="AS120" i="1"/>
  <c r="AS103" i="1"/>
  <c r="AS86" i="1"/>
  <c r="AG129" i="1"/>
  <c r="AG112" i="1"/>
  <c r="AG95" i="1"/>
  <c r="AG78" i="1"/>
  <c r="AO144" i="1"/>
  <c r="AO127" i="1"/>
  <c r="AO110" i="1"/>
  <c r="AO93" i="1"/>
  <c r="I144" i="1"/>
  <c r="I127" i="1"/>
  <c r="I110" i="1"/>
  <c r="I93" i="1"/>
  <c r="U143" i="1"/>
  <c r="U126" i="1"/>
  <c r="U109" i="1"/>
  <c r="U92" i="1"/>
  <c r="AG142" i="1"/>
  <c r="AG125" i="1"/>
  <c r="AG108" i="1"/>
  <c r="AG91" i="1"/>
  <c r="AS141" i="1"/>
  <c r="AS124" i="1"/>
  <c r="AS107" i="1"/>
  <c r="AS90" i="1"/>
  <c r="M141" i="1"/>
  <c r="M124" i="1"/>
  <c r="M107" i="1"/>
  <c r="M90" i="1"/>
  <c r="Y140" i="1"/>
  <c r="Y123" i="1"/>
  <c r="Y106" i="1"/>
  <c r="Y89" i="1"/>
  <c r="AK139" i="1"/>
  <c r="AK122" i="1"/>
  <c r="AK105" i="1"/>
  <c r="AK88" i="1"/>
  <c r="AW138" i="1"/>
  <c r="AW121" i="1"/>
  <c r="AW104" i="1"/>
  <c r="AW87" i="1"/>
  <c r="Q138" i="1"/>
  <c r="Q121" i="1"/>
  <c r="Q104" i="1"/>
  <c r="Q87" i="1"/>
  <c r="AC137" i="1"/>
  <c r="AC120" i="1"/>
  <c r="AC103" i="1"/>
  <c r="AC86" i="1"/>
  <c r="AO136" i="1"/>
  <c r="AO119" i="1"/>
  <c r="AO102" i="1"/>
  <c r="AO85" i="1"/>
  <c r="I136" i="1"/>
  <c r="I119" i="1"/>
  <c r="I102" i="1"/>
  <c r="I85" i="1"/>
  <c r="U135" i="1"/>
  <c r="U118" i="1"/>
  <c r="U101" i="1"/>
  <c r="U84" i="1"/>
  <c r="AG134" i="1"/>
  <c r="AG117" i="1"/>
  <c r="AG100" i="1"/>
  <c r="AG83" i="1"/>
  <c r="AS133" i="1"/>
  <c r="AS116" i="1"/>
  <c r="AS99" i="1"/>
  <c r="AS82" i="1"/>
  <c r="M133" i="1"/>
  <c r="M116" i="1"/>
  <c r="M99" i="1"/>
  <c r="M82" i="1"/>
  <c r="Y132" i="1"/>
  <c r="Y115" i="1"/>
  <c r="Y98" i="1"/>
  <c r="Y81" i="1"/>
  <c r="AK131" i="1"/>
  <c r="AK114" i="1"/>
  <c r="AK97" i="1"/>
  <c r="AK111" i="1" s="1"/>
  <c r="AK80" i="1"/>
  <c r="AW130" i="1"/>
  <c r="AW113" i="1"/>
  <c r="AW96" i="1"/>
  <c r="AW79" i="1"/>
  <c r="Q130" i="1"/>
  <c r="Q113" i="1"/>
  <c r="Q96" i="1"/>
  <c r="Q79" i="1"/>
  <c r="AK143" i="1"/>
  <c r="AK126" i="1"/>
  <c r="AK109" i="1"/>
  <c r="AK92" i="1"/>
  <c r="U139" i="1"/>
  <c r="U122" i="1"/>
  <c r="U105" i="1"/>
  <c r="U88" i="1"/>
  <c r="AC129" i="1"/>
  <c r="AC112" i="1"/>
  <c r="AC95" i="1"/>
  <c r="AC78" i="1"/>
  <c r="AK144" i="1"/>
  <c r="AK127" i="1"/>
  <c r="AK110" i="1"/>
  <c r="AK93" i="1"/>
  <c r="AW143" i="1"/>
  <c r="AW126" i="1"/>
  <c r="AW109" i="1"/>
  <c r="AW92" i="1"/>
  <c r="Q143" i="1"/>
  <c r="Q126" i="1"/>
  <c r="Q109" i="1"/>
  <c r="Q92" i="1"/>
  <c r="AC142" i="1"/>
  <c r="AC125" i="1"/>
  <c r="AC108" i="1"/>
  <c r="AC91" i="1"/>
  <c r="AO141" i="1"/>
  <c r="AO124" i="1"/>
  <c r="AO107" i="1"/>
  <c r="AO90" i="1"/>
  <c r="I141" i="1"/>
  <c r="I124" i="1"/>
  <c r="I107" i="1"/>
  <c r="I90" i="1"/>
  <c r="U140" i="1"/>
  <c r="U123" i="1"/>
  <c r="U106" i="1"/>
  <c r="U89" i="1"/>
  <c r="AG139" i="1"/>
  <c r="AG122" i="1"/>
  <c r="AG105" i="1"/>
  <c r="AG88" i="1"/>
  <c r="AS138" i="1"/>
  <c r="AS121" i="1"/>
  <c r="AS104" i="1"/>
  <c r="AS87" i="1"/>
  <c r="M138" i="1"/>
  <c r="M121" i="1"/>
  <c r="M104" i="1"/>
  <c r="M87" i="1"/>
  <c r="Y137" i="1"/>
  <c r="Y120" i="1"/>
  <c r="Y103" i="1"/>
  <c r="Y86" i="1"/>
  <c r="AK136" i="1"/>
  <c r="AK119" i="1"/>
  <c r="AK102" i="1"/>
  <c r="AK85" i="1"/>
  <c r="AW135" i="1"/>
  <c r="AW118" i="1"/>
  <c r="AW101" i="1"/>
  <c r="AW84" i="1"/>
  <c r="Q135" i="1"/>
  <c r="Q118" i="1"/>
  <c r="Q101" i="1"/>
  <c r="Q84" i="1"/>
  <c r="AC134" i="1"/>
  <c r="AC117" i="1"/>
  <c r="AC100" i="1"/>
  <c r="AC83" i="1"/>
  <c r="AO133" i="1"/>
  <c r="AO116" i="1"/>
  <c r="AO99" i="1"/>
  <c r="AO82" i="1"/>
  <c r="I133" i="1"/>
  <c r="I116" i="1"/>
  <c r="I99" i="1"/>
  <c r="I82" i="1"/>
  <c r="U132" i="1"/>
  <c r="U115" i="1"/>
  <c r="U98" i="1"/>
  <c r="U81" i="1"/>
  <c r="AG131" i="1"/>
  <c r="AG114" i="1"/>
  <c r="AG97" i="1"/>
  <c r="AG111" i="1" s="1"/>
  <c r="AG80" i="1"/>
  <c r="AS130" i="1"/>
  <c r="AS113" i="1"/>
  <c r="AS96" i="1"/>
  <c r="AS79" i="1"/>
  <c r="M130" i="1"/>
  <c r="M113" i="1"/>
  <c r="M96" i="1"/>
  <c r="M79" i="1"/>
  <c r="AW142" i="1"/>
  <c r="AW125" i="1"/>
  <c r="AW108" i="1"/>
  <c r="AW91" i="1"/>
  <c r="AW134" i="1"/>
  <c r="AW117" i="1"/>
  <c r="AW100" i="1"/>
  <c r="AW83" i="1"/>
  <c r="I132" i="1"/>
  <c r="I115" i="1"/>
  <c r="I98" i="1"/>
  <c r="I81" i="1"/>
  <c r="Y129" i="1"/>
  <c r="Y112" i="1"/>
  <c r="Y95" i="1"/>
  <c r="Y111" i="1" s="1"/>
  <c r="Y78" i="1"/>
  <c r="AS143" i="1"/>
  <c r="AS126" i="1"/>
  <c r="AS109" i="1"/>
  <c r="AS92" i="1"/>
  <c r="M143" i="1"/>
  <c r="M126" i="1"/>
  <c r="M109" i="1"/>
  <c r="M92" i="1"/>
  <c r="Y142" i="1"/>
  <c r="Y125" i="1"/>
  <c r="Y108" i="1"/>
  <c r="Y91" i="1"/>
  <c r="AK141" i="1"/>
  <c r="AK124" i="1"/>
  <c r="AK107" i="1"/>
  <c r="AK90" i="1"/>
  <c r="AW140" i="1"/>
  <c r="AW123" i="1"/>
  <c r="AW106" i="1"/>
  <c r="AW89" i="1"/>
  <c r="Q140" i="1"/>
  <c r="Q123" i="1"/>
  <c r="Q106" i="1"/>
  <c r="Q89" i="1"/>
  <c r="AC139" i="1"/>
  <c r="AC122" i="1"/>
  <c r="AC105" i="1"/>
  <c r="AC88" i="1"/>
  <c r="AO138" i="1"/>
  <c r="AO121" i="1"/>
  <c r="AO104" i="1"/>
  <c r="AO87" i="1"/>
  <c r="I138" i="1"/>
  <c r="I121" i="1"/>
  <c r="I104" i="1"/>
  <c r="I87" i="1"/>
  <c r="U137" i="1"/>
  <c r="U120" i="1"/>
  <c r="U103" i="1"/>
  <c r="U86" i="1"/>
  <c r="AG136" i="1"/>
  <c r="AG119" i="1"/>
  <c r="AG102" i="1"/>
  <c r="AG85" i="1"/>
  <c r="AS135" i="1"/>
  <c r="AS118" i="1"/>
  <c r="AS101" i="1"/>
  <c r="AS84" i="1"/>
  <c r="M135" i="1"/>
  <c r="M118" i="1"/>
  <c r="M101" i="1"/>
  <c r="M84" i="1"/>
  <c r="Y134" i="1"/>
  <c r="Y117" i="1"/>
  <c r="Y100" i="1"/>
  <c r="Y83" i="1"/>
  <c r="AK133" i="1"/>
  <c r="AK116" i="1"/>
  <c r="AK99" i="1"/>
  <c r="AK82" i="1"/>
  <c r="AW132" i="1"/>
  <c r="AW145" i="1" s="1"/>
  <c r="AW115" i="1"/>
  <c r="AW98" i="1"/>
  <c r="AW81" i="1"/>
  <c r="Q132" i="1"/>
  <c r="Q115" i="1"/>
  <c r="Q98" i="1"/>
  <c r="Q81" i="1"/>
  <c r="AC131" i="1"/>
  <c r="AC114" i="1"/>
  <c r="AC97" i="1"/>
  <c r="AC111" i="1" s="1"/>
  <c r="AC80" i="1"/>
  <c r="AC94" i="1" s="1"/>
  <c r="AO130" i="1"/>
  <c r="AO113" i="1"/>
  <c r="AO96" i="1"/>
  <c r="AO79" i="1"/>
  <c r="I130" i="1"/>
  <c r="I145" i="1" s="1"/>
  <c r="I113" i="1"/>
  <c r="I96" i="1"/>
  <c r="I79" i="1"/>
  <c r="Y128" i="1"/>
  <c r="AO128" i="1"/>
  <c r="M128" i="1"/>
  <c r="AW128" i="1"/>
  <c r="M145" i="1"/>
  <c r="U128" i="1"/>
  <c r="AC128" i="1"/>
  <c r="AG128" i="1"/>
  <c r="AS145" i="1"/>
  <c r="U145" i="1"/>
  <c r="AC145" i="1"/>
  <c r="AG145" i="1"/>
  <c r="Q128" i="1"/>
  <c r="Q145" i="1"/>
  <c r="Y94" i="1" l="1"/>
  <c r="Y146" i="1" s="1"/>
  <c r="Y147" i="1" s="1"/>
  <c r="Y56" i="1" s="1"/>
  <c r="M94" i="1"/>
  <c r="AG94" i="1"/>
  <c r="AK94" i="1"/>
  <c r="Q94" i="1"/>
  <c r="I128" i="1"/>
  <c r="I146" i="1" s="1"/>
  <c r="I147" i="1" s="1"/>
  <c r="I57" i="1" s="1"/>
  <c r="AS128" i="1"/>
  <c r="AS146" i="1" s="1"/>
  <c r="AS147" i="1" s="1"/>
  <c r="AS54" i="1" s="1"/>
  <c r="AO145" i="1"/>
  <c r="AK128" i="1"/>
  <c r="AK146" i="1" s="1"/>
  <c r="AK147" i="1" s="1"/>
  <c r="AK54" i="1" s="1"/>
  <c r="M111" i="1"/>
  <c r="AK145" i="1"/>
  <c r="AO94" i="1"/>
  <c r="AS94" i="1"/>
  <c r="AW94" i="1"/>
  <c r="U94" i="1"/>
  <c r="U146" i="1" s="1"/>
  <c r="U147" i="1" s="1"/>
  <c r="U54" i="1" s="1"/>
  <c r="I94" i="1"/>
  <c r="AO146" i="1"/>
  <c r="AO147" i="1" s="1"/>
  <c r="AO56" i="1" s="1"/>
  <c r="AW146" i="1"/>
  <c r="AW147" i="1" s="1"/>
  <c r="AW54" i="1" s="1"/>
  <c r="Q146" i="1"/>
  <c r="Q147" i="1" s="1"/>
  <c r="Q55" i="1" s="1"/>
  <c r="AC146" i="1"/>
  <c r="AC147" i="1" s="1"/>
  <c r="AC56" i="1" s="1"/>
  <c r="M146" i="1"/>
  <c r="M147" i="1" s="1"/>
  <c r="M54" i="1" s="1"/>
  <c r="AG146" i="1"/>
  <c r="AG147" i="1" s="1"/>
  <c r="AG56" i="1" s="1"/>
  <c r="AS55" i="1" l="1"/>
  <c r="AO57" i="1"/>
  <c r="AK57" i="1"/>
  <c r="AO54" i="1"/>
  <c r="AO55" i="1"/>
  <c r="AS57" i="1"/>
  <c r="I54" i="1"/>
  <c r="U55" i="1"/>
  <c r="U56" i="1"/>
  <c r="U57" i="1"/>
  <c r="Q57" i="1"/>
  <c r="Y57" i="1"/>
  <c r="AS56" i="1"/>
  <c r="Q56" i="1"/>
  <c r="Y54" i="1"/>
  <c r="Y55" i="1"/>
  <c r="AG54" i="1"/>
  <c r="AG57" i="1"/>
  <c r="AK55" i="1"/>
  <c r="AG55" i="1"/>
  <c r="AW55" i="1"/>
  <c r="AW56" i="1"/>
  <c r="AK56" i="1"/>
  <c r="Q54" i="1"/>
  <c r="AW57" i="1"/>
  <c r="AC55" i="1"/>
  <c r="AC54" i="1"/>
  <c r="AC57" i="1"/>
  <c r="M55" i="1"/>
  <c r="I55" i="1"/>
  <c r="I56" i="1"/>
  <c r="M56" i="1"/>
  <c r="M5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<sst xmlns="http://schemas.openxmlformats.org/spreadsheetml/2006/main" count="165" uniqueCount="84">
  <si>
    <t>+</t>
  </si>
  <si>
    <t>Functional Requirements</t>
  </si>
  <si>
    <t>−</t>
  </si>
  <si>
    <t>●</t>
  </si>
  <si>
    <t>Customer Requirements (Explicit and Implicit)</t>
  </si>
  <si>
    <t>Direction of Improvement</t>
  </si>
  <si>
    <t>▽</t>
  </si>
  <si>
    <t>○</t>
  </si>
  <si>
    <t>▼</t>
  </si>
  <si>
    <t>▲</t>
  </si>
  <si>
    <t>Target</t>
  </si>
  <si>
    <t xml:space="preserve">   Row #</t>
  </si>
  <si>
    <t>Maximize</t>
  </si>
  <si>
    <t>Minimize</t>
  </si>
  <si>
    <t>Relationships</t>
  </si>
  <si>
    <t>Strong</t>
  </si>
  <si>
    <t>Moderate</t>
  </si>
  <si>
    <t>Weak</t>
  </si>
  <si>
    <t>Correlations</t>
  </si>
  <si>
    <t>Positive</t>
  </si>
  <si>
    <t>Negative</t>
  </si>
  <si>
    <t xml:space="preserve">0
</t>
  </si>
  <si>
    <t xml:space="preserve">1
</t>
  </si>
  <si>
    <t xml:space="preserve">2
</t>
  </si>
  <si>
    <t xml:space="preserve">3
</t>
  </si>
  <si>
    <t xml:space="preserve">4
</t>
  </si>
  <si>
    <t xml:space="preserve">5
</t>
  </si>
  <si>
    <t>Project:</t>
  </si>
  <si>
    <t>Revision:</t>
  </si>
  <si>
    <t xml:space="preserve">Date: </t>
  </si>
  <si>
    <t>Weatherproof</t>
  </si>
  <si>
    <t>Durability</t>
  </si>
  <si>
    <t>Accuracy of Measurements</t>
  </si>
  <si>
    <t>Attaches Universally</t>
  </si>
  <si>
    <t>Ease of Use</t>
  </si>
  <si>
    <t>Ease of Setup</t>
  </si>
  <si>
    <t>Battery Life</t>
  </si>
  <si>
    <t>Hobby Cyclists</t>
  </si>
  <si>
    <t>Athletes</t>
  </si>
  <si>
    <t>Column #</t>
  </si>
  <si>
    <t>Trainers</t>
  </si>
  <si>
    <t>Competitive Cyclists</t>
  </si>
  <si>
    <t>Price</t>
  </si>
  <si>
    <t>Strava Fitness App</t>
  </si>
  <si>
    <t>Fitbit</t>
  </si>
  <si>
    <t>Stages Power Meter</t>
  </si>
  <si>
    <t>Relative Importance</t>
  </si>
  <si>
    <t>Threshold</t>
  </si>
  <si>
    <t>Steps to Attach to Bike</t>
  </si>
  <si>
    <t>Overall Accuracy of Sensors</t>
  </si>
  <si>
    <t>Size</t>
  </si>
  <si>
    <t>Units</t>
  </si>
  <si>
    <t>Time to View Metrics in App</t>
  </si>
  <si>
    <t>Cost of Materials</t>
  </si>
  <si>
    <t>Product Lifespan</t>
  </si>
  <si>
    <t>Cycle Statistic Tool</t>
  </si>
  <si>
    <t>House of Quality</t>
  </si>
  <si>
    <t>Jacob Hoffman &amp; Cody Klingler</t>
  </si>
  <si>
    <t>IP</t>
  </si>
  <si>
    <t>Sum</t>
  </si>
  <si>
    <t>Divisor</t>
  </si>
  <si>
    <t>m³</t>
  </si>
  <si>
    <t>%</t>
  </si>
  <si>
    <t>$</t>
  </si>
  <si>
    <t>hr</t>
  </si>
  <si>
    <t>mo</t>
  </si>
  <si>
    <t>s</t>
  </si>
  <si>
    <t>Accuracy of Power Measurement</t>
  </si>
  <si>
    <t>Accuracy of Speed Measurement</t>
  </si>
  <si>
    <t>Setup Steps Before Use</t>
  </si>
  <si>
    <t>Statistic Utilities in App</t>
  </si>
  <si>
    <t>.5m³</t>
  </si>
  <si>
    <t>.2m³</t>
  </si>
  <si>
    <t>IP54</t>
  </si>
  <si>
    <t>IP23</t>
  </si>
  <si>
    <t>12hrs</t>
  </si>
  <si>
    <t>3hrs</t>
  </si>
  <si>
    <t>2s</t>
  </si>
  <si>
    <t>6s</t>
  </si>
  <si>
    <t>3s</t>
  </si>
  <si>
    <t>6 mos.</t>
  </si>
  <si>
    <t>2 mos.</t>
  </si>
  <si>
    <t>Factor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</si>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</sst>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0"/>
      <color theme="1"/>
      <name val="Century Schoolbook"/>
      <family val="2"/>
    </font>
    <font>
      <sz val="11"/>
      <color theme="1"/>
      <name val="Calibri"/>
      <family val="2"/>
      <scheme val="minor"/>
    </font>
    <font>
      <sz val="10"/>
      <color theme="1"/>
      <name val="Century Schoolbook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/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4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9" fontId="1" fillId="2" borderId="0" xfId="1" applyFont="1" applyFill="1"/>
    <xf numFmtId="0" fontId="3" fillId="4" borderId="1" xfId="0" applyFont="1" applyFill="1" applyBorder="1" applyAlignment="1">
      <alignment horizontal="center" vertical="center"/>
    </xf>
    <xf numFmtId="0" fontId="3" fillId="4" borderId="18" xfId="0" applyFont="1" applyFill="1" applyBorder="1"/>
    <xf numFmtId="0" fontId="3" fillId="4" borderId="12" xfId="0" applyFont="1" applyFill="1" applyBorder="1" applyAlignment="1">
      <alignment horizontal="center" vertical="center" textRotation="90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/>
    <xf numFmtId="0" fontId="3" fillId="4" borderId="7" xfId="0" applyFont="1" applyFill="1" applyBorder="1" applyAlignment="1">
      <alignment vertical="center" textRotation="90"/>
    </xf>
    <xf numFmtId="0" fontId="3" fillId="2" borderId="15" xfId="0" applyFont="1" applyFill="1" applyBorder="1" applyAlignment="1">
      <alignment vertical="center" textRotation="90"/>
    </xf>
    <xf numFmtId="0" fontId="3" fillId="2" borderId="12" xfId="0" applyFont="1" applyFill="1" applyBorder="1" applyAlignment="1">
      <alignment vertical="center" textRotation="90"/>
    </xf>
    <xf numFmtId="0" fontId="1" fillId="3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12" xfId="0" applyFont="1" applyFill="1" applyBorder="1" applyAlignment="1">
      <alignment horizontal="right" vertical="center"/>
    </xf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3" fillId="4" borderId="14" xfId="0" applyFont="1" applyFill="1" applyBorder="1" applyAlignment="1">
      <alignment vertical="center" textRotation="90"/>
    </xf>
    <xf numFmtId="0" fontId="4" fillId="2" borderId="0" xfId="0" applyFont="1" applyFill="1"/>
    <xf numFmtId="9" fontId="3" fillId="4" borderId="1" xfId="0" applyNumberFormat="1" applyFont="1" applyFill="1" applyBorder="1" applyAlignment="1">
      <alignment horizontal="center" vertical="center"/>
    </xf>
    <xf numFmtId="0" fontId="1" fillId="2" borderId="14" xfId="0" applyFont="1" applyFill="1" applyBorder="1"/>
    <xf numFmtId="0" fontId="1" fillId="2" borderId="6" xfId="0" applyFont="1" applyFill="1" applyBorder="1"/>
    <xf numFmtId="0" fontId="1" fillId="2" borderId="12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/>
    </xf>
    <xf numFmtId="9" fontId="3" fillId="3" borderId="1" xfId="0" applyNumberFormat="1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 textRotation="90"/>
    </xf>
    <xf numFmtId="9" fontId="3" fillId="2" borderId="16" xfId="0" applyNumberFormat="1" applyFont="1" applyFill="1" applyBorder="1" applyAlignment="1">
      <alignment horizontal="center" vertical="center" textRotation="90"/>
    </xf>
    <xf numFmtId="0" fontId="3" fillId="2" borderId="19" xfId="0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 textRotation="90"/>
    </xf>
    <xf numFmtId="0" fontId="3" fillId="3" borderId="16" xfId="0" applyFont="1" applyFill="1" applyBorder="1" applyAlignment="1">
      <alignment horizontal="center" vertical="center" textRotation="90"/>
    </xf>
    <xf numFmtId="0" fontId="3" fillId="3" borderId="19" xfId="0" applyFont="1" applyFill="1" applyBorder="1" applyAlignment="1">
      <alignment horizontal="center" vertical="center" textRotation="90"/>
    </xf>
    <xf numFmtId="0" fontId="3" fillId="3" borderId="11" xfId="0" applyFont="1" applyFill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3" fillId="4" borderId="1" xfId="0" applyFont="1" applyFill="1" applyBorder="1" applyAlignment="1">
      <alignment horizontal="center"/>
    </xf>
    <xf numFmtId="9" fontId="3" fillId="4" borderId="1" xfId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7" xfId="0" applyFont="1" applyFill="1" applyBorder="1" applyAlignment="1">
      <alignment horizontal="center" vertical="center" textRotation="90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3" fillId="4" borderId="16" xfId="0" applyFont="1" applyFill="1" applyBorder="1" applyAlignment="1">
      <alignment horizontal="center" vertical="center" textRotation="90"/>
    </xf>
    <xf numFmtId="0" fontId="3" fillId="4" borderId="19" xfId="0" applyFont="1" applyFill="1" applyBorder="1" applyAlignment="1">
      <alignment horizontal="center" vertical="center" textRotation="90"/>
    </xf>
    <xf numFmtId="0" fontId="3" fillId="4" borderId="11" xfId="0" applyFont="1" applyFill="1" applyBorder="1" applyAlignment="1">
      <alignment horizontal="center" vertical="center" textRotation="90"/>
    </xf>
    <xf numFmtId="9" fontId="1" fillId="2" borderId="3" xfId="1" applyFont="1" applyFill="1" applyBorder="1" applyAlignment="1">
      <alignment horizontal="center"/>
    </xf>
    <xf numFmtId="9" fontId="1" fillId="2" borderId="7" xfId="1" applyFont="1" applyFill="1" applyBorder="1" applyAlignment="1">
      <alignment horizontal="center"/>
    </xf>
    <xf numFmtId="9" fontId="1" fillId="2" borderId="4" xfId="1" applyFont="1" applyFill="1" applyBorder="1" applyAlignment="1">
      <alignment horizontal="center"/>
    </xf>
    <xf numFmtId="9" fontId="1" fillId="3" borderId="3" xfId="0" applyNumberFormat="1" applyFont="1" applyFill="1" applyBorder="1" applyAlignment="1">
      <alignment horizontal="center" vertical="center" textRotation="90" wrapText="1"/>
    </xf>
    <xf numFmtId="6" fontId="1" fillId="3" borderId="3" xfId="0" applyNumberFormat="1" applyFont="1" applyFill="1" applyBorder="1" applyAlignment="1">
      <alignment horizontal="center" vertical="center" textRotation="90" wrapText="1"/>
    </xf>
    <xf numFmtId="0" fontId="3" fillId="4" borderId="7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horizontal="center" textRotation="90"/>
    </xf>
    <xf numFmtId="0" fontId="3" fillId="4" borderId="9" xfId="0" applyFont="1" applyFill="1" applyBorder="1" applyAlignment="1">
      <alignment horizontal="center" textRotation="90"/>
    </xf>
    <xf numFmtId="0" fontId="1" fillId="3" borderId="13" xfId="0" applyFont="1" applyFill="1" applyBorder="1" applyAlignment="1">
      <alignment horizontal="center" vertical="center" textRotation="90"/>
    </xf>
    <xf numFmtId="0" fontId="1" fillId="3" borderId="14" xfId="0" applyFont="1" applyFill="1" applyBorder="1" applyAlignment="1">
      <alignment horizontal="center" vertical="center" textRotation="90"/>
    </xf>
    <xf numFmtId="0" fontId="1" fillId="3" borderId="15" xfId="0" applyFont="1" applyFill="1" applyBorder="1" applyAlignment="1">
      <alignment horizontal="center" vertical="center" textRotation="90"/>
    </xf>
    <xf numFmtId="0" fontId="1" fillId="3" borderId="8" xfId="0" applyFont="1" applyFill="1" applyBorder="1" applyAlignment="1">
      <alignment horizontal="center" vertical="center" textRotation="90"/>
    </xf>
    <xf numFmtId="0" fontId="1" fillId="3" borderId="6" xfId="0" applyFont="1" applyFill="1" applyBorder="1" applyAlignment="1">
      <alignment horizontal="center" vertical="center" textRotation="90"/>
    </xf>
    <xf numFmtId="0" fontId="1" fillId="3" borderId="9" xfId="0" applyFont="1" applyFill="1" applyBorder="1" applyAlignment="1">
      <alignment horizontal="center" vertical="center" textRotation="90"/>
    </xf>
    <xf numFmtId="0" fontId="3" fillId="4" borderId="16" xfId="0" applyFont="1" applyFill="1" applyBorder="1" applyAlignment="1">
      <alignment horizontal="center" textRotation="90"/>
    </xf>
    <xf numFmtId="0" fontId="3" fillId="4" borderId="11" xfId="0" applyFont="1" applyFill="1" applyBorder="1" applyAlignment="1">
      <alignment horizontal="center" textRotation="90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12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textRotation="90"/>
    </xf>
    <xf numFmtId="0" fontId="1" fillId="5" borderId="16" xfId="0" applyFont="1" applyFill="1" applyBorder="1" applyAlignment="1">
      <alignment horizontal="center" textRotation="90"/>
    </xf>
    <xf numFmtId="0" fontId="1" fillId="5" borderId="11" xfId="0" applyFont="1" applyFill="1" applyBorder="1" applyAlignment="1">
      <alignment horizontal="center" textRotation="90"/>
    </xf>
    <xf numFmtId="0" fontId="3" fillId="4" borderId="13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00"/>
      <color rgb="FF00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02919699362393E-2"/>
          <c:y val="2.3060796645702299E-2"/>
          <c:w val="0.83109788220090153"/>
          <c:h val="0.72372699172477972"/>
        </c:manualLayout>
      </c:layout>
      <c:scatterChart>
        <c:scatterStyle val="lineMarker"/>
        <c:varyColors val="0"/>
        <c:ser>
          <c:idx val="2"/>
          <c:order val="0"/>
          <c:tx>
            <c:strRef>
              <c:f>'House of Quality'!$BA$41:$BA$42</c:f>
              <c:strCache>
                <c:ptCount val="2"/>
                <c:pt idx="0">
                  <c:v>Strava Fitness App</c:v>
                </c:pt>
              </c:strCache>
            </c:strRef>
          </c:tx>
          <c:spPr>
            <a:ln w="12700">
              <a:solidFill>
                <a:srgbClr val="00CC00"/>
              </a:solidFill>
            </a:ln>
          </c:spPr>
          <c:marker>
            <c:symbol val="circle"/>
            <c:size val="8"/>
            <c:spPr>
              <a:noFill/>
              <a:ln w="12700">
                <a:solidFill>
                  <a:srgbClr val="00CC00"/>
                </a:solidFill>
              </a:ln>
            </c:spPr>
          </c:marker>
          <c:xVal>
            <c:numRef>
              <c:f>'House of Quality'!$BA$43:$BA$51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</c:numCache>
            </c:numRef>
          </c:xVal>
          <c:yVal>
            <c:numRef>
              <c:f>'House of Quality'!$B$43:$B$51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1C-4EDA-9223-C1FDFB767D55}"/>
            </c:ext>
          </c:extLst>
        </c:ser>
        <c:ser>
          <c:idx val="3"/>
          <c:order val="1"/>
          <c:tx>
            <c:strRef>
              <c:f>'House of Quality'!$BB$41:$BB$42</c:f>
              <c:strCache>
                <c:ptCount val="2"/>
                <c:pt idx="0">
                  <c:v>Fitbit</c:v>
                </c:pt>
              </c:strCache>
            </c:strRef>
          </c:tx>
          <c:spPr>
            <a:ln w="12700">
              <a:solidFill>
                <a:srgbClr val="FF9900"/>
              </a:solidFill>
            </a:ln>
          </c:spPr>
          <c:marker>
            <c:symbol val="x"/>
            <c:size val="8"/>
            <c:spPr>
              <a:ln>
                <a:solidFill>
                  <a:srgbClr val="FF9900"/>
                </a:solidFill>
              </a:ln>
            </c:spPr>
          </c:marker>
          <c:xVal>
            <c:numRef>
              <c:f>'House of Quality'!$BB$43:$BB$51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xVal>
          <c:yVal>
            <c:numRef>
              <c:f>'House of Quality'!$B$43:$B$51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1C-4EDA-9223-C1FDFB767D55}"/>
            </c:ext>
          </c:extLst>
        </c:ser>
        <c:ser>
          <c:idx val="4"/>
          <c:order val="2"/>
          <c:tx>
            <c:strRef>
              <c:f>'House of Quality'!$BC$41:$BC$42</c:f>
              <c:strCache>
                <c:ptCount val="2"/>
                <c:pt idx="0">
                  <c:v>Stages Power Meter</c:v>
                </c:pt>
              </c:strCache>
            </c:strRef>
          </c:tx>
          <c:spPr>
            <a:ln w="12700">
              <a:solidFill>
                <a:srgbClr val="7030A0"/>
              </a:solidFill>
            </a:ln>
          </c:spPr>
          <c:marker>
            <c:symbol val="diamond"/>
            <c:size val="10"/>
            <c:spPr>
              <a:noFill/>
              <a:ln>
                <a:solidFill>
                  <a:srgbClr val="7030A0"/>
                </a:solidFill>
              </a:ln>
            </c:spPr>
          </c:marker>
          <c:xVal>
            <c:numRef>
              <c:f>'House of Quality'!$BC$43:$BC$51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</c:numCache>
            </c:numRef>
          </c:xVal>
          <c:yVal>
            <c:numRef>
              <c:f>'House of Quality'!$B$43:$B$51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1C-4EDA-9223-C1FDFB767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26336"/>
        <c:axId val="167637760"/>
      </c:scatterChart>
      <c:valAx>
        <c:axId val="131326336"/>
        <c:scaling>
          <c:orientation val="minMax"/>
          <c:max val="5"/>
          <c:min val="0"/>
        </c:scaling>
        <c:delete val="1"/>
        <c:axPos val="t"/>
        <c:numFmt formatCode="General" sourceLinked="1"/>
        <c:majorTickMark val="out"/>
        <c:minorTickMark val="none"/>
        <c:tickLblPos val="none"/>
        <c:crossAx val="167637760"/>
        <c:crossesAt val="1"/>
        <c:crossBetween val="midCat"/>
        <c:majorUnit val="1"/>
      </c:valAx>
      <c:valAx>
        <c:axId val="167637760"/>
        <c:scaling>
          <c:orientation val="maxMin"/>
          <c:max val="16"/>
          <c:min val="1"/>
        </c:scaling>
        <c:delete val="1"/>
        <c:axPos val="l"/>
        <c:numFmt formatCode="General" sourceLinked="1"/>
        <c:majorTickMark val="out"/>
        <c:minorTickMark val="none"/>
        <c:tickLblPos val="none"/>
        <c:crossAx val="131326336"/>
        <c:crossesAt val="0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12222223661916108"/>
          <c:y val="0.70722102378382257"/>
          <c:w val="0.75563976871370864"/>
          <c:h val="0.16422738914491294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0</xdr:colOff>
      <xdr:row>42</xdr:row>
      <xdr:rowOff>2</xdr:rowOff>
    </xdr:from>
    <xdr:to>
      <xdr:col>61</xdr:col>
      <xdr:colOff>29307</xdr:colOff>
      <xdr:row>53</xdr:row>
      <xdr:rowOff>204106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J162"/>
  <sheetViews>
    <sheetView tabSelected="1" topLeftCell="C1" zoomScale="145" zoomScaleNormal="145" workbookViewId="0">
      <selection activeCell="F3" sqref="F3:H5"/>
    </sheetView>
  </sheetViews>
  <sheetFormatPr defaultRowHeight="15" x14ac:dyDescent="0.25"/>
  <cols>
    <col min="1" max="1" width="9.140625" style="2"/>
    <col min="2" max="2" width="5" style="2" customWidth="1"/>
    <col min="3" max="4" width="17.85546875" style="2" customWidth="1"/>
    <col min="5" max="8" width="7.85546875" style="2" customWidth="1"/>
    <col min="9" max="52" width="1.7109375" style="2" customWidth="1"/>
    <col min="53" max="55" width="5" style="2" customWidth="1"/>
    <col min="56" max="61" width="5.7109375" style="2" customWidth="1"/>
    <col min="62" max="62" width="5" style="2" customWidth="1"/>
    <col min="63" max="16384" width="9.140625" style="2"/>
  </cols>
  <sheetData>
    <row r="1" spans="5:62" x14ac:dyDescent="0.25">
      <c r="E1" s="132" t="s">
        <v>56</v>
      </c>
      <c r="F1" s="132"/>
      <c r="G1" s="132"/>
      <c r="H1" s="132"/>
      <c r="BE1" s="80"/>
      <c r="BF1" s="80"/>
      <c r="BG1" s="80"/>
      <c r="BH1" s="80"/>
      <c r="BI1" s="80"/>
      <c r="BJ1" s="80"/>
    </row>
    <row r="2" spans="5:62" x14ac:dyDescent="0.25">
      <c r="E2" s="81" t="s">
        <v>57</v>
      </c>
      <c r="F2" s="81"/>
      <c r="G2" s="81"/>
      <c r="H2" s="81"/>
      <c r="BE2" s="26"/>
      <c r="BF2" s="26"/>
      <c r="BG2" s="26"/>
      <c r="BH2" s="26"/>
      <c r="BI2" s="26"/>
      <c r="BJ2" s="26"/>
    </row>
    <row r="3" spans="5:62" x14ac:dyDescent="0.25">
      <c r="E3" s="25" t="s">
        <v>27</v>
      </c>
      <c r="F3" s="81" t="s">
        <v>55</v>
      </c>
      <c r="G3" s="81"/>
      <c r="H3" s="81"/>
    </row>
    <row r="4" spans="5:62" x14ac:dyDescent="0.25">
      <c r="E4" s="25" t="s">
        <v>28</v>
      </c>
      <c r="F4" s="81">
        <v>2</v>
      </c>
      <c r="G4" s="81"/>
      <c r="H4" s="81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</row>
    <row r="5" spans="5:62" x14ac:dyDescent="0.25">
      <c r="E5" s="25" t="s">
        <v>29</v>
      </c>
      <c r="F5" s="133">
        <v>44110</v>
      </c>
      <c r="G5" s="133"/>
      <c r="H5" s="133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 spans="5:62" ht="9.9499999999999993" customHeight="1" x14ac:dyDescent="0.25">
      <c r="G6" s="3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</row>
    <row r="7" spans="5:62" ht="9.9499999999999993" customHeight="1" x14ac:dyDescent="0.25">
      <c r="G7" s="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46"/>
      <c r="AO7" s="46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6"/>
      <c r="BB7" s="6"/>
    </row>
    <row r="8" spans="5:62" ht="9.9499999999999993" customHeight="1" x14ac:dyDescent="0.25">
      <c r="G8" s="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46"/>
      <c r="AO8" s="46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6"/>
      <c r="BB8" s="6"/>
    </row>
    <row r="9" spans="5:62" ht="9.9499999999999993" customHeight="1" x14ac:dyDescent="0.25">
      <c r="G9" s="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46"/>
      <c r="AM9" s="46"/>
      <c r="AN9" s="10"/>
      <c r="AO9" s="10"/>
      <c r="AP9" s="46"/>
      <c r="AQ9" s="46"/>
      <c r="AR9" s="10"/>
      <c r="AS9" s="10"/>
      <c r="AT9" s="10"/>
      <c r="AU9" s="10"/>
      <c r="AV9" s="10"/>
      <c r="AW9" s="10"/>
      <c r="AX9" s="10"/>
      <c r="AY9" s="10"/>
      <c r="AZ9" s="10"/>
      <c r="BA9" s="6"/>
      <c r="BB9" s="6"/>
    </row>
    <row r="10" spans="5:62" ht="9.9499999999999993" customHeight="1" x14ac:dyDescent="0.25">
      <c r="E10" s="37" t="s">
        <v>18</v>
      </c>
      <c r="F10" s="38"/>
      <c r="G10" s="3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46"/>
      <c r="AM10" s="46"/>
      <c r="AN10" s="10"/>
      <c r="AO10" s="10"/>
      <c r="AP10" s="46"/>
      <c r="AQ10" s="46"/>
      <c r="AR10" s="10"/>
      <c r="AS10" s="10"/>
      <c r="AT10" s="10"/>
      <c r="AU10" s="10"/>
      <c r="AV10" s="10"/>
      <c r="AW10" s="10"/>
      <c r="AX10" s="10"/>
      <c r="AY10" s="10"/>
      <c r="AZ10" s="10"/>
      <c r="BA10" s="6"/>
      <c r="BB10" s="6"/>
    </row>
    <row r="11" spans="5:62" ht="9.9499999999999993" customHeight="1" x14ac:dyDescent="0.25">
      <c r="E11" s="40"/>
      <c r="F11" s="41"/>
      <c r="G11" s="42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0"/>
      <c r="AB11" s="10"/>
      <c r="AC11" s="10"/>
      <c r="AD11" s="10"/>
      <c r="AE11" s="10"/>
      <c r="AF11" s="10"/>
      <c r="AG11" s="10"/>
      <c r="AH11" s="10"/>
      <c r="AI11" s="10"/>
      <c r="AJ11" s="46"/>
      <c r="AK11" s="46"/>
      <c r="AL11" s="10"/>
      <c r="AM11" s="10"/>
      <c r="AN11" s="46"/>
      <c r="AO11" s="46"/>
      <c r="AP11" s="10"/>
      <c r="AQ11" s="10"/>
      <c r="AR11" s="46"/>
      <c r="AS11" s="46"/>
      <c r="AT11" s="10"/>
      <c r="AU11" s="10"/>
      <c r="AV11" s="10"/>
      <c r="AW11" s="10"/>
      <c r="AX11" s="10"/>
      <c r="AY11" s="10"/>
      <c r="AZ11" s="10"/>
      <c r="BA11" s="6"/>
      <c r="BB11" s="6"/>
    </row>
    <row r="12" spans="5:62" ht="9.9499999999999993" customHeight="1" x14ac:dyDescent="0.25">
      <c r="E12" s="43" t="s">
        <v>19</v>
      </c>
      <c r="F12" s="44"/>
      <c r="G12" s="49" t="s">
        <v>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0"/>
      <c r="AB12" s="10"/>
      <c r="AC12" s="10"/>
      <c r="AD12" s="10"/>
      <c r="AE12" s="10"/>
      <c r="AF12" s="10"/>
      <c r="AG12" s="10"/>
      <c r="AH12" s="10"/>
      <c r="AI12" s="10"/>
      <c r="AJ12" s="46"/>
      <c r="AK12" s="46"/>
      <c r="AL12" s="10"/>
      <c r="AM12" s="10"/>
      <c r="AN12" s="46"/>
      <c r="AO12" s="46"/>
      <c r="AP12" s="10"/>
      <c r="AQ12" s="10"/>
      <c r="AR12" s="46"/>
      <c r="AS12" s="46"/>
      <c r="AT12" s="10"/>
      <c r="AU12" s="10"/>
      <c r="AV12" s="10"/>
      <c r="AW12" s="10"/>
      <c r="AX12" s="10"/>
      <c r="AY12" s="10"/>
      <c r="AZ12" s="10"/>
      <c r="BA12" s="6"/>
      <c r="BB12" s="6"/>
    </row>
    <row r="13" spans="5:62" ht="9.9499999999999993" customHeight="1" x14ac:dyDescent="0.25">
      <c r="E13" s="45"/>
      <c r="F13" s="46"/>
      <c r="G13" s="5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0"/>
      <c r="AB13" s="10"/>
      <c r="AC13" s="10"/>
      <c r="AD13" s="10"/>
      <c r="AE13" s="10"/>
      <c r="AF13" s="10"/>
      <c r="AG13" s="10"/>
      <c r="AH13" s="46"/>
      <c r="AI13" s="46"/>
      <c r="AJ13" s="10"/>
      <c r="AK13" s="10"/>
      <c r="AL13" s="46"/>
      <c r="AM13" s="46"/>
      <c r="AN13" s="10"/>
      <c r="AO13" s="10"/>
      <c r="AP13" s="46"/>
      <c r="AQ13" s="46"/>
      <c r="AR13" s="10"/>
      <c r="AS13" s="10"/>
      <c r="AT13" s="46"/>
      <c r="AU13" s="46"/>
      <c r="AV13" s="10"/>
      <c r="AW13" s="10"/>
      <c r="AX13" s="10"/>
      <c r="AY13" s="10"/>
      <c r="AZ13" s="10"/>
      <c r="BA13" s="6"/>
      <c r="BB13" s="6"/>
    </row>
    <row r="14" spans="5:62" ht="9.9499999999999993" customHeight="1" x14ac:dyDescent="0.25">
      <c r="E14" s="45" t="s">
        <v>20</v>
      </c>
      <c r="F14" s="46"/>
      <c r="G14" s="50" t="s">
        <v>2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0"/>
      <c r="AB14" s="10"/>
      <c r="AC14" s="10"/>
      <c r="AD14" s="10"/>
      <c r="AE14" s="10"/>
      <c r="AF14" s="10"/>
      <c r="AG14" s="10"/>
      <c r="AH14" s="46"/>
      <c r="AI14" s="46"/>
      <c r="AJ14" s="10"/>
      <c r="AK14" s="10"/>
      <c r="AL14" s="46"/>
      <c r="AM14" s="46"/>
      <c r="AN14" s="10"/>
      <c r="AO14" s="10"/>
      <c r="AP14" s="46"/>
      <c r="AQ14" s="46"/>
      <c r="AR14" s="10"/>
      <c r="AS14" s="10"/>
      <c r="AT14" s="46"/>
      <c r="AU14" s="46"/>
      <c r="AV14" s="10"/>
      <c r="AW14" s="10"/>
      <c r="AX14" s="10"/>
      <c r="AY14" s="10"/>
      <c r="AZ14" s="10"/>
      <c r="BA14" s="6"/>
      <c r="BB14" s="6"/>
    </row>
    <row r="15" spans="5:62" ht="9.9499999999999993" customHeight="1" x14ac:dyDescent="0.25">
      <c r="E15" s="45"/>
      <c r="F15" s="46"/>
      <c r="G15" s="5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8"/>
      <c r="AC15" s="8"/>
      <c r="AD15" s="8"/>
      <c r="AE15" s="10"/>
      <c r="AF15" s="46"/>
      <c r="AG15" s="46"/>
      <c r="AH15" s="10"/>
      <c r="AI15" s="10"/>
      <c r="AJ15" s="46"/>
      <c r="AK15" s="46"/>
      <c r="AL15" s="10"/>
      <c r="AM15" s="10"/>
      <c r="AN15" s="46"/>
      <c r="AO15" s="46"/>
      <c r="AP15" s="10"/>
      <c r="AQ15" s="10"/>
      <c r="AR15" s="46"/>
      <c r="AS15" s="46"/>
      <c r="AT15" s="10"/>
      <c r="AU15" s="10"/>
      <c r="AV15" s="46"/>
      <c r="AW15" s="46"/>
      <c r="AX15" s="10"/>
      <c r="AY15" s="8"/>
      <c r="AZ15" s="8"/>
    </row>
    <row r="16" spans="5:62" ht="9.9499999999999993" customHeight="1" x14ac:dyDescent="0.25">
      <c r="E16" s="45" t="s">
        <v>83</v>
      </c>
      <c r="F16" s="46"/>
      <c r="G16" s="5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8"/>
      <c r="AC16" s="8"/>
      <c r="AD16" s="9"/>
      <c r="AE16" s="11"/>
      <c r="AF16" s="46"/>
      <c r="AG16" s="46"/>
      <c r="AH16" s="10"/>
      <c r="AI16" s="10"/>
      <c r="AJ16" s="46"/>
      <c r="AK16" s="46"/>
      <c r="AL16" s="10"/>
      <c r="AM16" s="10"/>
      <c r="AN16" s="46"/>
      <c r="AO16" s="46"/>
      <c r="AP16" s="10"/>
      <c r="AQ16" s="10"/>
      <c r="AR16" s="46"/>
      <c r="AS16" s="46"/>
      <c r="AT16" s="10"/>
      <c r="AU16" s="10"/>
      <c r="AV16" s="46"/>
      <c r="AW16" s="46"/>
      <c r="AX16" s="10"/>
      <c r="AY16" s="10"/>
      <c r="AZ16" s="8"/>
    </row>
    <row r="17" spans="5:60" ht="9.9499999999999993" customHeight="1" x14ac:dyDescent="0.25">
      <c r="E17" s="47"/>
      <c r="F17" s="48"/>
      <c r="G17" s="51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  <c r="AA17" s="8"/>
      <c r="AB17" s="8"/>
      <c r="AC17" s="9"/>
      <c r="AD17" s="46" t="s">
        <v>0</v>
      </c>
      <c r="AE17" s="46"/>
      <c r="AF17" s="11"/>
      <c r="AG17" s="10"/>
      <c r="AH17" s="46"/>
      <c r="AI17" s="46"/>
      <c r="AJ17" s="10"/>
      <c r="AK17" s="10"/>
      <c r="AL17" s="46"/>
      <c r="AM17" s="46"/>
      <c r="AN17" s="10"/>
      <c r="AO17" s="10"/>
      <c r="AP17" s="46"/>
      <c r="AQ17" s="46"/>
      <c r="AR17" s="10"/>
      <c r="AS17" s="10"/>
      <c r="AT17" s="46"/>
      <c r="AU17" s="46"/>
      <c r="AV17" s="10"/>
      <c r="AW17" s="10"/>
      <c r="AX17" s="46"/>
      <c r="AY17" s="46"/>
      <c r="AZ17" s="10"/>
    </row>
    <row r="18" spans="5:60" ht="9.9499999999999993" customHeight="1" x14ac:dyDescent="0.25">
      <c r="F18" s="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  <c r="AA18" s="8"/>
      <c r="AB18" s="9"/>
      <c r="AC18" s="11"/>
      <c r="AD18" s="46"/>
      <c r="AE18" s="46"/>
      <c r="AF18" s="9"/>
      <c r="AG18" s="11"/>
      <c r="AH18" s="46"/>
      <c r="AI18" s="46"/>
      <c r="AJ18" s="10"/>
      <c r="AK18" s="10"/>
      <c r="AL18" s="46"/>
      <c r="AM18" s="46"/>
      <c r="AN18" s="10"/>
      <c r="AO18" s="10"/>
      <c r="AP18" s="46"/>
      <c r="AQ18" s="46"/>
      <c r="AR18" s="10"/>
      <c r="AS18" s="10"/>
      <c r="AT18" s="46"/>
      <c r="AU18" s="46"/>
      <c r="AV18" s="10"/>
      <c r="AW18" s="10"/>
      <c r="AX18" s="46"/>
      <c r="AY18" s="46"/>
      <c r="AZ18" s="10"/>
    </row>
    <row r="19" spans="5:60" ht="9.9499999999999993" customHeight="1" x14ac:dyDescent="0.25">
      <c r="E19" s="37" t="s">
        <v>14</v>
      </c>
      <c r="F19" s="38"/>
      <c r="G19" s="39"/>
      <c r="L19" s="7"/>
      <c r="M19" s="7"/>
      <c r="N19" s="7"/>
      <c r="O19" s="46"/>
      <c r="P19" s="46"/>
      <c r="Q19" s="8"/>
      <c r="R19" s="7"/>
      <c r="S19" s="7"/>
      <c r="T19" s="7"/>
      <c r="U19" s="7"/>
      <c r="V19" s="7"/>
      <c r="W19" s="7"/>
      <c r="X19" s="8"/>
      <c r="Y19" s="8"/>
      <c r="Z19" s="8"/>
      <c r="AA19" s="9"/>
      <c r="AB19" s="46"/>
      <c r="AC19" s="46"/>
      <c r="AD19" s="11"/>
      <c r="AE19" s="9"/>
      <c r="AF19" s="46" t="s">
        <v>0</v>
      </c>
      <c r="AG19" s="46"/>
      <c r="AH19" s="11"/>
      <c r="AI19" s="10"/>
      <c r="AJ19" s="46"/>
      <c r="AK19" s="46"/>
      <c r="AL19" s="10"/>
      <c r="AM19" s="10"/>
      <c r="AN19" s="46"/>
      <c r="AO19" s="46"/>
      <c r="AP19" s="10"/>
      <c r="AQ19" s="10"/>
      <c r="AR19" s="46"/>
      <c r="AS19" s="46"/>
      <c r="AT19" s="10"/>
      <c r="AU19" s="10"/>
      <c r="AV19" s="46"/>
      <c r="AW19" s="46"/>
      <c r="AX19" s="10"/>
      <c r="AY19" s="10"/>
      <c r="AZ19" s="46"/>
    </row>
    <row r="20" spans="5:60" ht="9.9499999999999993" customHeight="1" x14ac:dyDescent="0.25">
      <c r="E20" s="40"/>
      <c r="F20" s="41"/>
      <c r="G20" s="42"/>
      <c r="L20" s="7"/>
      <c r="M20" s="7"/>
      <c r="N20" s="7"/>
      <c r="O20" s="46"/>
      <c r="P20" s="46"/>
      <c r="Q20" s="8"/>
      <c r="R20" s="7"/>
      <c r="S20" s="7"/>
      <c r="T20" s="7"/>
      <c r="U20" s="7"/>
      <c r="V20" s="7"/>
      <c r="W20" s="7"/>
      <c r="X20" s="8"/>
      <c r="Y20" s="8"/>
      <c r="Z20" s="9"/>
      <c r="AA20" s="11"/>
      <c r="AB20" s="46"/>
      <c r="AC20" s="46"/>
      <c r="AD20" s="9"/>
      <c r="AE20" s="11"/>
      <c r="AF20" s="46"/>
      <c r="AG20" s="46"/>
      <c r="AH20" s="9"/>
      <c r="AI20" s="11"/>
      <c r="AJ20" s="46"/>
      <c r="AK20" s="46"/>
      <c r="AL20" s="10"/>
      <c r="AM20" s="10"/>
      <c r="AN20" s="46"/>
      <c r="AO20" s="46"/>
      <c r="AP20" s="10"/>
      <c r="AQ20" s="10"/>
      <c r="AR20" s="46"/>
      <c r="AS20" s="46"/>
      <c r="AT20" s="10"/>
      <c r="AU20" s="10"/>
      <c r="AV20" s="46"/>
      <c r="AW20" s="46"/>
      <c r="AX20" s="10"/>
      <c r="AY20" s="10"/>
      <c r="AZ20" s="46"/>
    </row>
    <row r="21" spans="5:60" ht="9.9499999999999993" customHeight="1" x14ac:dyDescent="0.25">
      <c r="E21" s="43" t="s">
        <v>15</v>
      </c>
      <c r="F21" s="44"/>
      <c r="G21" s="49" t="s">
        <v>3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8"/>
      <c r="Y21" s="9"/>
      <c r="Z21" s="46"/>
      <c r="AA21" s="46"/>
      <c r="AB21" s="11"/>
      <c r="AC21" s="9"/>
      <c r="AD21" s="46" t="s">
        <v>0</v>
      </c>
      <c r="AE21" s="46"/>
      <c r="AF21" s="11"/>
      <c r="AG21" s="9"/>
      <c r="AH21" s="46" t="s">
        <v>0</v>
      </c>
      <c r="AI21" s="46"/>
      <c r="AJ21" s="11"/>
      <c r="AK21" s="10"/>
      <c r="AL21" s="46"/>
      <c r="AM21" s="46"/>
      <c r="AN21" s="10"/>
      <c r="AO21" s="10"/>
      <c r="AP21" s="46"/>
      <c r="AQ21" s="46"/>
      <c r="AR21" s="10"/>
      <c r="AS21" s="10"/>
      <c r="AT21" s="46"/>
      <c r="AU21" s="46"/>
      <c r="AV21" s="10"/>
      <c r="AW21" s="10"/>
      <c r="AX21" s="46"/>
      <c r="AY21" s="46"/>
      <c r="AZ21" s="10"/>
    </row>
    <row r="22" spans="5:60" ht="9.9499999999999993" customHeight="1" x14ac:dyDescent="0.25">
      <c r="E22" s="45"/>
      <c r="F22" s="46"/>
      <c r="G22" s="5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9"/>
      <c r="Y22" s="11"/>
      <c r="Z22" s="46"/>
      <c r="AA22" s="46"/>
      <c r="AB22" s="9"/>
      <c r="AC22" s="11"/>
      <c r="AD22" s="46"/>
      <c r="AE22" s="46"/>
      <c r="AF22" s="9"/>
      <c r="AG22" s="11"/>
      <c r="AH22" s="46"/>
      <c r="AI22" s="46"/>
      <c r="AJ22" s="9"/>
      <c r="AK22" s="11"/>
      <c r="AL22" s="46"/>
      <c r="AM22" s="46"/>
      <c r="AN22" s="10"/>
      <c r="AO22" s="10"/>
      <c r="AP22" s="46"/>
      <c r="AQ22" s="46"/>
      <c r="AR22" s="10"/>
      <c r="AS22" s="10"/>
      <c r="AT22" s="46"/>
      <c r="AU22" s="46"/>
      <c r="AV22" s="10"/>
      <c r="AW22" s="10"/>
      <c r="AX22" s="46"/>
      <c r="AY22" s="46"/>
      <c r="AZ22" s="10"/>
    </row>
    <row r="23" spans="5:60" ht="9.9499999999999993" customHeight="1" x14ac:dyDescent="0.25">
      <c r="E23" s="45" t="s">
        <v>16</v>
      </c>
      <c r="F23" s="46"/>
      <c r="G23" s="50" t="s">
        <v>7</v>
      </c>
      <c r="K23" s="46"/>
      <c r="L23" s="46"/>
      <c r="M23" s="7"/>
      <c r="N23" s="7"/>
      <c r="O23" s="7"/>
      <c r="P23" s="7"/>
      <c r="Q23" s="7"/>
      <c r="R23" s="8"/>
      <c r="S23" s="8"/>
      <c r="T23" s="8"/>
      <c r="U23" s="8"/>
      <c r="V23" s="8"/>
      <c r="W23" s="9"/>
      <c r="X23" s="46"/>
      <c r="Y23" s="46"/>
      <c r="Z23" s="11"/>
      <c r="AA23" s="9"/>
      <c r="AB23" s="46"/>
      <c r="AC23" s="46"/>
      <c r="AD23" s="11"/>
      <c r="AE23" s="9"/>
      <c r="AF23" s="46" t="s">
        <v>0</v>
      </c>
      <c r="AG23" s="46"/>
      <c r="AH23" s="11"/>
      <c r="AI23" s="9"/>
      <c r="AJ23" s="46"/>
      <c r="AK23" s="46"/>
      <c r="AL23" s="11"/>
      <c r="AM23" s="10"/>
      <c r="AN23" s="46"/>
      <c r="AO23" s="46"/>
      <c r="AP23" s="10"/>
      <c r="AQ23" s="10"/>
      <c r="AR23" s="46"/>
      <c r="AS23" s="46"/>
      <c r="AT23" s="10"/>
      <c r="AU23" s="10"/>
      <c r="AV23" s="46"/>
      <c r="AW23" s="46"/>
      <c r="AX23" s="10"/>
      <c r="AY23" s="10"/>
      <c r="AZ23" s="46"/>
      <c r="BA23" s="6"/>
      <c r="BB23" s="6"/>
    </row>
    <row r="24" spans="5:60" ht="9.9499999999999993" customHeight="1" x14ac:dyDescent="0.25">
      <c r="E24" s="45"/>
      <c r="F24" s="46"/>
      <c r="G24" s="50"/>
      <c r="K24" s="46"/>
      <c r="L24" s="46"/>
      <c r="M24" s="7"/>
      <c r="N24" s="7"/>
      <c r="O24" s="7"/>
      <c r="P24" s="7"/>
      <c r="Q24" s="7"/>
      <c r="R24" s="8"/>
      <c r="S24" s="8"/>
      <c r="T24" s="8"/>
      <c r="U24" s="8"/>
      <c r="V24" s="9"/>
      <c r="W24" s="11"/>
      <c r="X24" s="46"/>
      <c r="Y24" s="46"/>
      <c r="Z24" s="9"/>
      <c r="AA24" s="11"/>
      <c r="AB24" s="46"/>
      <c r="AC24" s="46"/>
      <c r="AD24" s="9"/>
      <c r="AE24" s="11"/>
      <c r="AF24" s="46"/>
      <c r="AG24" s="46"/>
      <c r="AH24" s="9"/>
      <c r="AI24" s="11"/>
      <c r="AJ24" s="46"/>
      <c r="AK24" s="46"/>
      <c r="AL24" s="9"/>
      <c r="AM24" s="11"/>
      <c r="AN24" s="46"/>
      <c r="AO24" s="46"/>
      <c r="AP24" s="10"/>
      <c r="AQ24" s="10"/>
      <c r="AR24" s="46"/>
      <c r="AS24" s="46"/>
      <c r="AT24" s="10"/>
      <c r="AU24" s="10"/>
      <c r="AV24" s="46"/>
      <c r="AW24" s="46"/>
      <c r="AX24" s="10"/>
      <c r="AY24" s="10"/>
      <c r="AZ24" s="46"/>
      <c r="BA24" s="6"/>
      <c r="BB24" s="6"/>
    </row>
    <row r="25" spans="5:60" ht="9.9499999999999993" customHeight="1" x14ac:dyDescent="0.25">
      <c r="E25" s="45" t="s">
        <v>17</v>
      </c>
      <c r="F25" s="46"/>
      <c r="G25" s="50" t="s">
        <v>6</v>
      </c>
      <c r="L25" s="7"/>
      <c r="M25" s="7"/>
      <c r="N25" s="7"/>
      <c r="O25" s="7"/>
      <c r="P25" s="7"/>
      <c r="Q25" s="7"/>
      <c r="R25" s="8"/>
      <c r="S25" s="8"/>
      <c r="T25" s="8"/>
      <c r="U25" s="9"/>
      <c r="V25" s="46"/>
      <c r="W25" s="46"/>
      <c r="X25" s="11"/>
      <c r="Y25" s="9"/>
      <c r="Z25" s="46"/>
      <c r="AA25" s="46"/>
      <c r="AB25" s="11"/>
      <c r="AC25" s="9"/>
      <c r="AD25" s="46"/>
      <c r="AE25" s="46"/>
      <c r="AF25" s="11"/>
      <c r="AG25" s="9"/>
      <c r="AH25" s="46"/>
      <c r="AI25" s="46"/>
      <c r="AJ25" s="11"/>
      <c r="AK25" s="9"/>
      <c r="AL25" s="46"/>
      <c r="AM25" s="46"/>
      <c r="AN25" s="11"/>
      <c r="AO25" s="10"/>
      <c r="AP25" s="46"/>
      <c r="AQ25" s="46"/>
      <c r="AR25" s="10"/>
      <c r="AS25" s="10"/>
      <c r="AT25" s="46"/>
      <c r="AU25" s="46"/>
      <c r="AV25" s="10"/>
      <c r="AW25" s="10"/>
      <c r="AX25" s="46"/>
      <c r="AY25" s="46"/>
      <c r="AZ25" s="10"/>
      <c r="BA25" s="6"/>
      <c r="BB25" s="6"/>
      <c r="BC25" s="6"/>
    </row>
    <row r="26" spans="5:60" ht="9.9499999999999993" customHeight="1" x14ac:dyDescent="0.25">
      <c r="E26" s="45"/>
      <c r="F26" s="46"/>
      <c r="G26" s="50"/>
      <c r="L26" s="7"/>
      <c r="M26" s="7"/>
      <c r="N26" s="7"/>
      <c r="O26" s="7"/>
      <c r="P26" s="7"/>
      <c r="Q26" s="7"/>
      <c r="R26" s="8"/>
      <c r="S26" s="8"/>
      <c r="T26" s="9"/>
      <c r="U26" s="11"/>
      <c r="V26" s="46"/>
      <c r="W26" s="46"/>
      <c r="X26" s="9"/>
      <c r="Y26" s="11"/>
      <c r="Z26" s="46"/>
      <c r="AA26" s="46"/>
      <c r="AB26" s="9"/>
      <c r="AC26" s="11"/>
      <c r="AD26" s="46"/>
      <c r="AE26" s="46"/>
      <c r="AF26" s="9"/>
      <c r="AG26" s="11"/>
      <c r="AH26" s="46"/>
      <c r="AI26" s="46"/>
      <c r="AJ26" s="9"/>
      <c r="AK26" s="11"/>
      <c r="AL26" s="46"/>
      <c r="AM26" s="46"/>
      <c r="AN26" s="9"/>
      <c r="AO26" s="11"/>
      <c r="AP26" s="46"/>
      <c r="AQ26" s="46"/>
      <c r="AR26" s="10"/>
      <c r="AS26" s="10"/>
      <c r="AT26" s="46"/>
      <c r="AU26" s="46"/>
      <c r="AV26" s="10"/>
      <c r="AW26" s="10"/>
      <c r="AX26" s="46"/>
      <c r="AY26" s="46"/>
      <c r="AZ26" s="10"/>
      <c r="BA26" s="6"/>
      <c r="BB26" s="6"/>
      <c r="BC26" s="6"/>
    </row>
    <row r="27" spans="5:60" ht="9.9499999999999993" customHeight="1" x14ac:dyDescent="0.25">
      <c r="E27" s="45" t="s">
        <v>83</v>
      </c>
      <c r="F27" s="46"/>
      <c r="G27" s="32"/>
      <c r="L27" s="7"/>
      <c r="M27" s="7"/>
      <c r="N27" s="7"/>
      <c r="O27" s="7"/>
      <c r="P27" s="8"/>
      <c r="Q27" s="8"/>
      <c r="R27" s="8"/>
      <c r="S27" s="9"/>
      <c r="T27" s="46" t="s">
        <v>0</v>
      </c>
      <c r="U27" s="46"/>
      <c r="V27" s="11"/>
      <c r="W27" s="9"/>
      <c r="X27" s="46" t="s">
        <v>2</v>
      </c>
      <c r="Y27" s="46"/>
      <c r="Z27" s="11"/>
      <c r="AA27" s="9"/>
      <c r="AB27" s="46"/>
      <c r="AC27" s="46"/>
      <c r="AD27" s="11"/>
      <c r="AE27" s="9"/>
      <c r="AF27" s="46"/>
      <c r="AG27" s="46"/>
      <c r="AH27" s="11"/>
      <c r="AI27" s="9"/>
      <c r="AJ27" s="46"/>
      <c r="AK27" s="46"/>
      <c r="AL27" s="11"/>
      <c r="AM27" s="9"/>
      <c r="AN27" s="46" t="s">
        <v>0</v>
      </c>
      <c r="AO27" s="46"/>
      <c r="AP27" s="11"/>
      <c r="AQ27" s="10"/>
      <c r="AR27" s="46"/>
      <c r="AS27" s="46"/>
      <c r="AT27" s="10"/>
      <c r="AU27" s="10"/>
      <c r="AV27" s="46"/>
      <c r="AW27" s="46"/>
      <c r="AX27" s="10"/>
      <c r="AY27" s="10"/>
      <c r="AZ27" s="46"/>
      <c r="BA27" s="6"/>
      <c r="BB27" s="6"/>
      <c r="BC27" s="6"/>
      <c r="BD27" s="6"/>
    </row>
    <row r="28" spans="5:60" ht="9.9499999999999993" customHeight="1" x14ac:dyDescent="0.25">
      <c r="E28" s="47"/>
      <c r="F28" s="48"/>
      <c r="G28" s="33"/>
      <c r="L28" s="7"/>
      <c r="M28" s="7"/>
      <c r="N28" s="7"/>
      <c r="O28" s="7"/>
      <c r="P28" s="8"/>
      <c r="Q28" s="8"/>
      <c r="R28" s="9"/>
      <c r="S28" s="11"/>
      <c r="T28" s="46"/>
      <c r="U28" s="46"/>
      <c r="V28" s="9"/>
      <c r="W28" s="11"/>
      <c r="X28" s="46"/>
      <c r="Y28" s="46"/>
      <c r="Z28" s="9"/>
      <c r="AA28" s="11"/>
      <c r="AB28" s="46"/>
      <c r="AC28" s="46"/>
      <c r="AD28" s="9"/>
      <c r="AE28" s="11"/>
      <c r="AF28" s="46"/>
      <c r="AG28" s="46"/>
      <c r="AH28" s="9"/>
      <c r="AI28" s="11"/>
      <c r="AJ28" s="46"/>
      <c r="AK28" s="46"/>
      <c r="AL28" s="9"/>
      <c r="AM28" s="11"/>
      <c r="AN28" s="46"/>
      <c r="AO28" s="46"/>
      <c r="AP28" s="9"/>
      <c r="AQ28" s="11"/>
      <c r="AR28" s="46"/>
      <c r="AS28" s="46"/>
      <c r="AT28" s="10"/>
      <c r="AU28" s="10"/>
      <c r="AV28" s="46"/>
      <c r="AW28" s="46"/>
      <c r="AX28" s="10"/>
      <c r="AY28" s="10"/>
      <c r="AZ28" s="46"/>
      <c r="BA28" s="6"/>
      <c r="BB28" s="6"/>
      <c r="BC28" s="6"/>
      <c r="BD28" s="6"/>
    </row>
    <row r="29" spans="5:60" ht="9.9499999999999993" customHeight="1" x14ac:dyDescent="0.25">
      <c r="I29" s="6"/>
      <c r="J29" s="6"/>
      <c r="K29" s="6"/>
      <c r="L29" s="8"/>
      <c r="M29" s="8"/>
      <c r="N29" s="8"/>
      <c r="O29" s="8"/>
      <c r="P29" s="8"/>
      <c r="Q29" s="9"/>
      <c r="R29" s="46" t="s">
        <v>0</v>
      </c>
      <c r="S29" s="46"/>
      <c r="T29" s="11"/>
      <c r="U29" s="9"/>
      <c r="V29" s="46"/>
      <c r="W29" s="46"/>
      <c r="X29" s="11"/>
      <c r="Y29" s="9"/>
      <c r="Z29" s="46" t="s">
        <v>2</v>
      </c>
      <c r="AA29" s="46"/>
      <c r="AB29" s="11"/>
      <c r="AC29" s="9"/>
      <c r="AD29" s="46"/>
      <c r="AE29" s="46"/>
      <c r="AF29" s="11"/>
      <c r="AG29" s="9"/>
      <c r="AH29" s="46"/>
      <c r="AI29" s="46"/>
      <c r="AJ29" s="11"/>
      <c r="AK29" s="9"/>
      <c r="AL29" s="46"/>
      <c r="AM29" s="46"/>
      <c r="AN29" s="11"/>
      <c r="AO29" s="9"/>
      <c r="AP29" s="46"/>
      <c r="AQ29" s="46"/>
      <c r="AR29" s="11"/>
      <c r="AS29" s="10"/>
      <c r="AT29" s="46"/>
      <c r="AU29" s="46"/>
      <c r="AV29" s="10"/>
      <c r="AW29" s="10"/>
      <c r="AX29" s="46"/>
      <c r="AY29" s="46"/>
      <c r="AZ29" s="10"/>
      <c r="BA29" s="6"/>
      <c r="BB29" s="6"/>
      <c r="BC29" s="6"/>
    </row>
    <row r="30" spans="5:60" ht="9.9499999999999993" customHeight="1" x14ac:dyDescent="0.25">
      <c r="E30" s="37" t="s">
        <v>5</v>
      </c>
      <c r="F30" s="38"/>
      <c r="G30" s="39"/>
      <c r="I30" s="6"/>
      <c r="J30" s="6"/>
      <c r="K30" s="6"/>
      <c r="L30" s="8"/>
      <c r="M30" s="8"/>
      <c r="N30" s="8"/>
      <c r="O30" s="8"/>
      <c r="P30" s="9"/>
      <c r="Q30" s="11"/>
      <c r="R30" s="46"/>
      <c r="S30" s="46"/>
      <c r="T30" s="9"/>
      <c r="U30" s="11"/>
      <c r="V30" s="46"/>
      <c r="W30" s="46"/>
      <c r="X30" s="9"/>
      <c r="Y30" s="11"/>
      <c r="Z30" s="46"/>
      <c r="AA30" s="46"/>
      <c r="AB30" s="9"/>
      <c r="AC30" s="11"/>
      <c r="AD30" s="46"/>
      <c r="AE30" s="46"/>
      <c r="AF30" s="9"/>
      <c r="AG30" s="11"/>
      <c r="AH30" s="46"/>
      <c r="AI30" s="46"/>
      <c r="AJ30" s="9"/>
      <c r="AK30" s="11"/>
      <c r="AL30" s="46"/>
      <c r="AM30" s="46"/>
      <c r="AN30" s="9"/>
      <c r="AO30" s="11"/>
      <c r="AP30" s="46"/>
      <c r="AQ30" s="46"/>
      <c r="AR30" s="9"/>
      <c r="AS30" s="11"/>
      <c r="AT30" s="46"/>
      <c r="AU30" s="46"/>
      <c r="AV30" s="10"/>
      <c r="AW30" s="10"/>
      <c r="AX30" s="46"/>
      <c r="AY30" s="46"/>
      <c r="AZ30" s="10"/>
      <c r="BA30" s="6"/>
      <c r="BB30" s="6"/>
      <c r="BC30" s="6"/>
    </row>
    <row r="31" spans="5:60" ht="9.9499999999999993" customHeight="1" x14ac:dyDescent="0.25">
      <c r="E31" s="40"/>
      <c r="F31" s="41"/>
      <c r="G31" s="42"/>
      <c r="I31" s="6"/>
      <c r="J31" s="6"/>
      <c r="K31" s="6"/>
      <c r="L31" s="8"/>
      <c r="M31" s="8"/>
      <c r="N31" s="8"/>
      <c r="O31" s="9"/>
      <c r="P31" s="46"/>
      <c r="Q31" s="46"/>
      <c r="R31" s="11"/>
      <c r="S31" s="9"/>
      <c r="T31" s="46" t="s">
        <v>0</v>
      </c>
      <c r="U31" s="46"/>
      <c r="V31" s="11"/>
      <c r="W31" s="9"/>
      <c r="X31" s="46"/>
      <c r="Y31" s="46"/>
      <c r="Z31" s="11"/>
      <c r="AA31" s="9"/>
      <c r="AB31" s="46" t="s">
        <v>2</v>
      </c>
      <c r="AC31" s="46"/>
      <c r="AD31" s="11"/>
      <c r="AE31" s="9"/>
      <c r="AF31" s="46" t="s">
        <v>0</v>
      </c>
      <c r="AG31" s="46"/>
      <c r="AH31" s="11"/>
      <c r="AI31" s="9"/>
      <c r="AJ31" s="46"/>
      <c r="AK31" s="46"/>
      <c r="AL31" s="11"/>
      <c r="AM31" s="9"/>
      <c r="AN31" s="46"/>
      <c r="AO31" s="46"/>
      <c r="AP31" s="11"/>
      <c r="AQ31" s="9"/>
      <c r="AR31" s="46"/>
      <c r="AS31" s="46"/>
      <c r="AT31" s="11"/>
      <c r="AU31" s="10"/>
      <c r="AV31" s="46"/>
      <c r="AW31" s="46"/>
      <c r="AX31" s="10"/>
      <c r="AY31" s="10"/>
      <c r="AZ31" s="46"/>
      <c r="BA31" s="6"/>
      <c r="BB31" s="6"/>
      <c r="BC31" s="6"/>
      <c r="BD31" s="6"/>
    </row>
    <row r="32" spans="5:60" ht="9.9499999999999993" customHeight="1" x14ac:dyDescent="0.25">
      <c r="E32" s="43" t="s">
        <v>12</v>
      </c>
      <c r="F32" s="44"/>
      <c r="G32" s="49" t="s">
        <v>9</v>
      </c>
      <c r="I32" s="6"/>
      <c r="J32" s="6"/>
      <c r="K32" s="6"/>
      <c r="L32" s="8"/>
      <c r="M32" s="8"/>
      <c r="N32" s="9"/>
      <c r="O32" s="11"/>
      <c r="P32" s="46"/>
      <c r="Q32" s="46"/>
      <c r="R32" s="9"/>
      <c r="S32" s="11"/>
      <c r="T32" s="46"/>
      <c r="U32" s="46"/>
      <c r="V32" s="9"/>
      <c r="W32" s="11"/>
      <c r="X32" s="46"/>
      <c r="Y32" s="46"/>
      <c r="Z32" s="9"/>
      <c r="AA32" s="11"/>
      <c r="AB32" s="46"/>
      <c r="AC32" s="46"/>
      <c r="AD32" s="9"/>
      <c r="AE32" s="11"/>
      <c r="AF32" s="46"/>
      <c r="AG32" s="46"/>
      <c r="AH32" s="9"/>
      <c r="AI32" s="11"/>
      <c r="AJ32" s="46"/>
      <c r="AK32" s="46"/>
      <c r="AL32" s="9"/>
      <c r="AM32" s="11"/>
      <c r="AN32" s="46"/>
      <c r="AO32" s="46"/>
      <c r="AP32" s="9"/>
      <c r="AQ32" s="11"/>
      <c r="AR32" s="46"/>
      <c r="AS32" s="46"/>
      <c r="AT32" s="9"/>
      <c r="AU32" s="11"/>
      <c r="AV32" s="46"/>
      <c r="AW32" s="46"/>
      <c r="AX32" s="10"/>
      <c r="AY32" s="10"/>
      <c r="AZ32" s="46"/>
      <c r="BA32" s="6"/>
      <c r="BB32" s="6"/>
      <c r="BC32" s="6"/>
      <c r="BD32" s="6"/>
      <c r="BE32" s="6"/>
      <c r="BF32" s="6"/>
      <c r="BG32" s="6"/>
      <c r="BH32" s="6"/>
    </row>
    <row r="33" spans="1:62" ht="9.9499999999999993" customHeight="1" x14ac:dyDescent="0.25">
      <c r="E33" s="45"/>
      <c r="F33" s="46"/>
      <c r="G33" s="50"/>
      <c r="I33" s="6"/>
      <c r="J33" s="6"/>
      <c r="K33" s="6"/>
      <c r="L33" s="8"/>
      <c r="M33" s="9"/>
      <c r="N33" s="46"/>
      <c r="O33" s="46"/>
      <c r="P33" s="11"/>
      <c r="Q33" s="9"/>
      <c r="R33" s="46" t="s">
        <v>0</v>
      </c>
      <c r="S33" s="46"/>
      <c r="T33" s="11"/>
      <c r="U33" s="9"/>
      <c r="V33" s="46" t="s">
        <v>0</v>
      </c>
      <c r="W33" s="46"/>
      <c r="X33" s="11"/>
      <c r="Y33" s="9"/>
      <c r="Z33" s="46"/>
      <c r="AA33" s="46"/>
      <c r="AB33" s="11"/>
      <c r="AC33" s="9"/>
      <c r="AD33" s="46" t="s">
        <v>0</v>
      </c>
      <c r="AE33" s="46"/>
      <c r="AF33" s="11"/>
      <c r="AG33" s="9"/>
      <c r="AH33" s="46" t="s">
        <v>0</v>
      </c>
      <c r="AI33" s="46"/>
      <c r="AJ33" s="11"/>
      <c r="AK33" s="9"/>
      <c r="AL33" s="46"/>
      <c r="AM33" s="46"/>
      <c r="AN33" s="11"/>
      <c r="AO33" s="9"/>
      <c r="AP33" s="46"/>
      <c r="AQ33" s="46"/>
      <c r="AR33" s="11"/>
      <c r="AS33" s="9"/>
      <c r="AT33" s="46"/>
      <c r="AU33" s="46"/>
      <c r="AV33" s="11"/>
      <c r="AW33" s="10"/>
      <c r="AX33" s="46"/>
      <c r="AY33" s="46"/>
      <c r="AZ33" s="10"/>
      <c r="BA33" s="10"/>
      <c r="BB33" s="6"/>
      <c r="BC33" s="6"/>
      <c r="BD33" s="10"/>
      <c r="BE33" s="10"/>
      <c r="BF33" s="6"/>
      <c r="BG33" s="6"/>
      <c r="BH33" s="6"/>
    </row>
    <row r="34" spans="1:62" ht="9.9499999999999993" customHeight="1" x14ac:dyDescent="0.25">
      <c r="E34" s="45" t="s">
        <v>13</v>
      </c>
      <c r="F34" s="46"/>
      <c r="G34" s="50" t="s">
        <v>8</v>
      </c>
      <c r="I34" s="6"/>
      <c r="J34" s="6"/>
      <c r="K34" s="6"/>
      <c r="L34" s="9"/>
      <c r="M34" s="11"/>
      <c r="N34" s="46"/>
      <c r="O34" s="46"/>
      <c r="P34" s="9"/>
      <c r="Q34" s="11"/>
      <c r="R34" s="46"/>
      <c r="S34" s="46"/>
      <c r="T34" s="9"/>
      <c r="U34" s="11"/>
      <c r="V34" s="46"/>
      <c r="W34" s="46"/>
      <c r="X34" s="9"/>
      <c r="Y34" s="11"/>
      <c r="Z34" s="46"/>
      <c r="AA34" s="46"/>
      <c r="AB34" s="9"/>
      <c r="AC34" s="11"/>
      <c r="AD34" s="46"/>
      <c r="AE34" s="46"/>
      <c r="AF34" s="9"/>
      <c r="AG34" s="11"/>
      <c r="AH34" s="46"/>
      <c r="AI34" s="46"/>
      <c r="AJ34" s="9"/>
      <c r="AK34" s="11"/>
      <c r="AL34" s="46"/>
      <c r="AM34" s="46"/>
      <c r="AN34" s="9"/>
      <c r="AO34" s="11"/>
      <c r="AP34" s="46"/>
      <c r="AQ34" s="46"/>
      <c r="AR34" s="9"/>
      <c r="AS34" s="11"/>
      <c r="AT34" s="46"/>
      <c r="AU34" s="46"/>
      <c r="AV34" s="9"/>
      <c r="AW34" s="11"/>
      <c r="AX34" s="46"/>
      <c r="AY34" s="46"/>
      <c r="AZ34" s="10"/>
      <c r="BA34" s="10"/>
      <c r="BB34" s="6"/>
      <c r="BC34" s="6"/>
      <c r="BD34" s="10"/>
      <c r="BE34" s="10"/>
      <c r="BF34" s="6"/>
      <c r="BG34" s="6"/>
      <c r="BH34" s="6"/>
    </row>
    <row r="35" spans="1:62" ht="9.9499999999999993" customHeight="1" x14ac:dyDescent="0.25">
      <c r="E35" s="47"/>
      <c r="F35" s="48"/>
      <c r="G35" s="51"/>
      <c r="I35" s="6"/>
      <c r="J35" s="6"/>
      <c r="K35" s="4"/>
      <c r="L35" s="46"/>
      <c r="M35" s="46"/>
      <c r="N35" s="11"/>
      <c r="O35" s="9"/>
      <c r="P35" s="46" t="s">
        <v>0</v>
      </c>
      <c r="Q35" s="46"/>
      <c r="R35" s="11"/>
      <c r="S35" s="9"/>
      <c r="T35" s="46"/>
      <c r="U35" s="46"/>
      <c r="V35" s="11"/>
      <c r="W35" s="9"/>
      <c r="X35" s="46" t="s">
        <v>0</v>
      </c>
      <c r="Y35" s="46"/>
      <c r="Z35" s="11"/>
      <c r="AA35" s="9"/>
      <c r="AB35" s="46" t="s">
        <v>0</v>
      </c>
      <c r="AC35" s="46"/>
      <c r="AD35" s="11"/>
      <c r="AE35" s="9"/>
      <c r="AF35" s="46"/>
      <c r="AG35" s="46"/>
      <c r="AH35" s="11"/>
      <c r="AI35" s="9"/>
      <c r="AJ35" s="46"/>
      <c r="AK35" s="46"/>
      <c r="AL35" s="11"/>
      <c r="AM35" s="9"/>
      <c r="AN35" s="46"/>
      <c r="AO35" s="46"/>
      <c r="AP35" s="11"/>
      <c r="AQ35" s="9"/>
      <c r="AR35" s="46"/>
      <c r="AS35" s="46"/>
      <c r="AT35" s="11"/>
      <c r="AU35" s="9"/>
      <c r="AV35" s="46"/>
      <c r="AW35" s="46"/>
      <c r="AX35" s="11"/>
      <c r="AY35" s="10"/>
      <c r="AZ35" s="46"/>
      <c r="BA35" s="6"/>
      <c r="BB35" s="8"/>
      <c r="BC35" s="8"/>
      <c r="BD35" s="6"/>
      <c r="BE35" s="6"/>
      <c r="BF35" s="8"/>
      <c r="BG35" s="8"/>
      <c r="BH35" s="6"/>
    </row>
    <row r="36" spans="1:62" ht="9.9499999999999993" customHeight="1" x14ac:dyDescent="0.25">
      <c r="I36" s="6"/>
      <c r="J36" s="4"/>
      <c r="K36" s="5"/>
      <c r="L36" s="46"/>
      <c r="M36" s="46"/>
      <c r="N36" s="9"/>
      <c r="O36" s="11"/>
      <c r="P36" s="46"/>
      <c r="Q36" s="46"/>
      <c r="R36" s="9"/>
      <c r="S36" s="11"/>
      <c r="T36" s="46"/>
      <c r="U36" s="46"/>
      <c r="V36" s="9"/>
      <c r="W36" s="11"/>
      <c r="X36" s="46"/>
      <c r="Y36" s="46"/>
      <c r="Z36" s="9"/>
      <c r="AA36" s="11"/>
      <c r="AB36" s="46"/>
      <c r="AC36" s="46"/>
      <c r="AD36" s="9"/>
      <c r="AE36" s="11"/>
      <c r="AF36" s="46"/>
      <c r="AG36" s="46"/>
      <c r="AH36" s="9"/>
      <c r="AI36" s="11"/>
      <c r="AJ36" s="46"/>
      <c r="AK36" s="46"/>
      <c r="AL36" s="9"/>
      <c r="AM36" s="11"/>
      <c r="AN36" s="46"/>
      <c r="AO36" s="46"/>
      <c r="AP36" s="9"/>
      <c r="AQ36" s="11"/>
      <c r="AR36" s="46"/>
      <c r="AS36" s="46"/>
      <c r="AT36" s="9"/>
      <c r="AU36" s="11"/>
      <c r="AV36" s="46"/>
      <c r="AW36" s="46"/>
      <c r="AX36" s="9"/>
      <c r="AY36" s="11"/>
      <c r="AZ36" s="46"/>
      <c r="BA36" s="6"/>
      <c r="BB36" s="8"/>
      <c r="BC36" s="8"/>
      <c r="BD36" s="6"/>
      <c r="BE36" s="6"/>
      <c r="BF36" s="8"/>
      <c r="BG36" s="8"/>
      <c r="BH36" s="6"/>
    </row>
    <row r="37" spans="1:62" ht="9.9499999999999993" customHeight="1" x14ac:dyDescent="0.25">
      <c r="I37" s="4"/>
      <c r="J37" s="6"/>
      <c r="K37" s="6"/>
      <c r="L37" s="5"/>
      <c r="M37" s="4"/>
      <c r="N37" s="6"/>
      <c r="O37" s="6"/>
      <c r="P37" s="5"/>
      <c r="Q37" s="4"/>
      <c r="R37" s="6"/>
      <c r="S37" s="6"/>
      <c r="T37" s="5"/>
      <c r="U37" s="4"/>
      <c r="V37" s="6"/>
      <c r="W37" s="6"/>
      <c r="X37" s="5"/>
      <c r="Y37" s="4"/>
      <c r="Z37" s="6"/>
      <c r="AA37" s="6"/>
      <c r="AB37" s="5"/>
      <c r="AC37" s="4"/>
      <c r="AD37" s="6"/>
      <c r="AE37" s="6"/>
      <c r="AF37" s="5"/>
      <c r="AG37" s="4"/>
      <c r="AH37" s="6"/>
      <c r="AI37" s="6"/>
      <c r="AJ37" s="5"/>
      <c r="AK37" s="4"/>
      <c r="AL37" s="6"/>
      <c r="AM37" s="6"/>
      <c r="AN37" s="5"/>
      <c r="AO37" s="4"/>
      <c r="AP37" s="6"/>
      <c r="AQ37" s="6"/>
      <c r="AR37" s="5"/>
      <c r="AS37" s="4"/>
      <c r="AT37" s="6"/>
      <c r="AU37" s="6"/>
      <c r="AV37" s="5"/>
      <c r="AW37" s="4"/>
      <c r="AX37" s="6"/>
      <c r="AY37" s="6"/>
      <c r="AZ37" s="5"/>
      <c r="BA37" s="6"/>
      <c r="BB37" s="6"/>
      <c r="BC37" s="6"/>
      <c r="BD37" s="6"/>
      <c r="BE37" s="6"/>
      <c r="BF37" s="6"/>
      <c r="BG37" s="6"/>
      <c r="BH37" s="6"/>
    </row>
    <row r="38" spans="1:62" ht="19.5" customHeight="1" x14ac:dyDescent="0.25">
      <c r="C38" s="116"/>
      <c r="D38" s="117"/>
      <c r="E38" s="95" t="s">
        <v>39</v>
      </c>
      <c r="F38" s="95"/>
      <c r="G38" s="95"/>
      <c r="H38" s="96"/>
      <c r="I38" s="107">
        <v>1</v>
      </c>
      <c r="J38" s="108"/>
      <c r="K38" s="108"/>
      <c r="L38" s="109"/>
      <c r="M38" s="107">
        <v>2</v>
      </c>
      <c r="N38" s="108"/>
      <c r="O38" s="108"/>
      <c r="P38" s="109"/>
      <c r="Q38" s="107">
        <v>3</v>
      </c>
      <c r="R38" s="108"/>
      <c r="S38" s="108"/>
      <c r="T38" s="109"/>
      <c r="U38" s="107">
        <v>4</v>
      </c>
      <c r="V38" s="108"/>
      <c r="W38" s="108"/>
      <c r="X38" s="109"/>
      <c r="Y38" s="107">
        <v>5</v>
      </c>
      <c r="Z38" s="108"/>
      <c r="AA38" s="108"/>
      <c r="AB38" s="109"/>
      <c r="AC38" s="107">
        <v>6</v>
      </c>
      <c r="AD38" s="108"/>
      <c r="AE38" s="108"/>
      <c r="AF38" s="109"/>
      <c r="AG38" s="107">
        <v>7</v>
      </c>
      <c r="AH38" s="108"/>
      <c r="AI38" s="108"/>
      <c r="AJ38" s="109"/>
      <c r="AK38" s="110">
        <v>8</v>
      </c>
      <c r="AL38" s="111"/>
      <c r="AM38" s="111"/>
      <c r="AN38" s="112"/>
      <c r="AO38" s="110">
        <v>9</v>
      </c>
      <c r="AP38" s="111"/>
      <c r="AQ38" s="111"/>
      <c r="AR38" s="112"/>
      <c r="AS38" s="107">
        <v>10</v>
      </c>
      <c r="AT38" s="108"/>
      <c r="AU38" s="108"/>
      <c r="AV38" s="109"/>
      <c r="AW38" s="107">
        <v>11</v>
      </c>
      <c r="AX38" s="108"/>
      <c r="AY38" s="108"/>
      <c r="AZ38" s="109"/>
    </row>
    <row r="39" spans="1:62" ht="19.5" customHeight="1" x14ac:dyDescent="0.25">
      <c r="C39" s="23"/>
      <c r="D39" s="24"/>
      <c r="E39" s="95" t="s">
        <v>5</v>
      </c>
      <c r="F39" s="95"/>
      <c r="G39" s="95"/>
      <c r="H39" s="96"/>
      <c r="I39" s="52" t="s">
        <v>8</v>
      </c>
      <c r="J39" s="53"/>
      <c r="K39" s="53"/>
      <c r="L39" s="54"/>
      <c r="M39" s="34" t="s">
        <v>9</v>
      </c>
      <c r="N39" s="35"/>
      <c r="O39" s="35"/>
      <c r="P39" s="36"/>
      <c r="Q39" s="34" t="s">
        <v>9</v>
      </c>
      <c r="R39" s="35"/>
      <c r="S39" s="35"/>
      <c r="T39" s="36"/>
      <c r="U39" s="34" t="s">
        <v>9</v>
      </c>
      <c r="V39" s="35"/>
      <c r="W39" s="35"/>
      <c r="X39" s="36"/>
      <c r="Y39" s="34" t="s">
        <v>8</v>
      </c>
      <c r="Z39" s="35"/>
      <c r="AA39" s="35"/>
      <c r="AB39" s="36"/>
      <c r="AC39" s="34" t="s">
        <v>9</v>
      </c>
      <c r="AD39" s="35"/>
      <c r="AE39" s="35"/>
      <c r="AF39" s="36"/>
      <c r="AG39" s="34" t="s">
        <v>9</v>
      </c>
      <c r="AH39" s="35"/>
      <c r="AI39" s="35"/>
      <c r="AJ39" s="36"/>
      <c r="AK39" s="52" t="s">
        <v>9</v>
      </c>
      <c r="AL39" s="53"/>
      <c r="AM39" s="53"/>
      <c r="AN39" s="54"/>
      <c r="AO39" s="52" t="s">
        <v>8</v>
      </c>
      <c r="AP39" s="53"/>
      <c r="AQ39" s="53"/>
      <c r="AR39" s="54"/>
      <c r="AS39" s="34" t="s">
        <v>8</v>
      </c>
      <c r="AT39" s="35"/>
      <c r="AU39" s="35"/>
      <c r="AV39" s="36"/>
      <c r="AW39" s="34" t="s">
        <v>8</v>
      </c>
      <c r="AX39" s="35"/>
      <c r="AY39" s="35"/>
      <c r="AZ39" s="36"/>
    </row>
    <row r="40" spans="1:62" ht="19.5" customHeight="1" x14ac:dyDescent="0.25">
      <c r="C40" s="114"/>
      <c r="D40" s="115"/>
      <c r="E40" s="95" t="s">
        <v>51</v>
      </c>
      <c r="F40" s="95"/>
      <c r="G40" s="95"/>
      <c r="H40" s="96"/>
      <c r="I40" s="52" t="s">
        <v>61</v>
      </c>
      <c r="J40" s="53"/>
      <c r="K40" s="53"/>
      <c r="L40" s="54"/>
      <c r="M40" s="34" t="s">
        <v>62</v>
      </c>
      <c r="N40" s="35"/>
      <c r="O40" s="35"/>
      <c r="P40" s="36"/>
      <c r="Q40" s="34" t="s">
        <v>62</v>
      </c>
      <c r="R40" s="35"/>
      <c r="S40" s="35"/>
      <c r="T40" s="36"/>
      <c r="U40" s="34" t="s">
        <v>62</v>
      </c>
      <c r="V40" s="35"/>
      <c r="W40" s="35"/>
      <c r="X40" s="36"/>
      <c r="Y40" s="34" t="s">
        <v>63</v>
      </c>
      <c r="Z40" s="35"/>
      <c r="AA40" s="35"/>
      <c r="AB40" s="36"/>
      <c r="AC40" s="34" t="s">
        <v>58</v>
      </c>
      <c r="AD40" s="35"/>
      <c r="AE40" s="35"/>
      <c r="AF40" s="36"/>
      <c r="AG40" s="34" t="s">
        <v>64</v>
      </c>
      <c r="AH40" s="35"/>
      <c r="AI40" s="35"/>
      <c r="AJ40" s="36"/>
      <c r="AK40" s="52" t="s">
        <v>65</v>
      </c>
      <c r="AL40" s="53"/>
      <c r="AM40" s="53"/>
      <c r="AN40" s="54"/>
      <c r="AO40" s="52" t="s">
        <v>66</v>
      </c>
      <c r="AP40" s="53"/>
      <c r="AQ40" s="53"/>
      <c r="AR40" s="54"/>
      <c r="AS40" s="34"/>
      <c r="AT40" s="35"/>
      <c r="AU40" s="35"/>
      <c r="AV40" s="36"/>
      <c r="AW40" s="34"/>
      <c r="AX40" s="35"/>
      <c r="AY40" s="35"/>
      <c r="AZ40" s="36"/>
      <c r="BA40" s="130"/>
      <c r="BB40" s="130"/>
      <c r="BC40" s="130"/>
      <c r="BD40" s="130"/>
      <c r="BE40" s="130"/>
      <c r="BF40" s="130"/>
      <c r="BG40" s="130"/>
      <c r="BH40" s="130"/>
      <c r="BI40" s="131"/>
    </row>
    <row r="41" spans="1:62" ht="90" customHeight="1" x14ac:dyDescent="0.25">
      <c r="B41" s="105" t="s">
        <v>11</v>
      </c>
      <c r="C41" s="15"/>
      <c r="D41" s="16" t="s">
        <v>1</v>
      </c>
      <c r="E41" s="105" t="s">
        <v>37</v>
      </c>
      <c r="F41" s="105" t="s">
        <v>41</v>
      </c>
      <c r="G41" s="105" t="s">
        <v>40</v>
      </c>
      <c r="H41" s="97" t="s">
        <v>38</v>
      </c>
      <c r="I41" s="99" t="s">
        <v>50</v>
      </c>
      <c r="J41" s="100"/>
      <c r="K41" s="100"/>
      <c r="L41" s="101"/>
      <c r="M41" s="99" t="s">
        <v>49</v>
      </c>
      <c r="N41" s="100"/>
      <c r="O41" s="100"/>
      <c r="P41" s="101"/>
      <c r="Q41" s="99" t="s">
        <v>67</v>
      </c>
      <c r="R41" s="100"/>
      <c r="S41" s="100"/>
      <c r="T41" s="101"/>
      <c r="U41" s="99" t="s">
        <v>68</v>
      </c>
      <c r="V41" s="100"/>
      <c r="W41" s="100"/>
      <c r="X41" s="101"/>
      <c r="Y41" s="99" t="s">
        <v>53</v>
      </c>
      <c r="Z41" s="100"/>
      <c r="AA41" s="100"/>
      <c r="AB41" s="101"/>
      <c r="AC41" s="99" t="s">
        <v>30</v>
      </c>
      <c r="AD41" s="100"/>
      <c r="AE41" s="100"/>
      <c r="AF41" s="101"/>
      <c r="AG41" s="99" t="s">
        <v>36</v>
      </c>
      <c r="AH41" s="100"/>
      <c r="AI41" s="100"/>
      <c r="AJ41" s="101"/>
      <c r="AK41" s="99" t="s">
        <v>54</v>
      </c>
      <c r="AL41" s="100"/>
      <c r="AM41" s="100"/>
      <c r="AN41" s="101"/>
      <c r="AO41" s="99" t="s">
        <v>52</v>
      </c>
      <c r="AP41" s="100"/>
      <c r="AQ41" s="100"/>
      <c r="AR41" s="101"/>
      <c r="AS41" s="99" t="s">
        <v>69</v>
      </c>
      <c r="AT41" s="100"/>
      <c r="AU41" s="100"/>
      <c r="AV41" s="101"/>
      <c r="AW41" s="99" t="s">
        <v>48</v>
      </c>
      <c r="AX41" s="100"/>
      <c r="AY41" s="100"/>
      <c r="AZ41" s="101"/>
      <c r="BA41" s="126" t="s">
        <v>43</v>
      </c>
      <c r="BB41" s="126" t="s">
        <v>44</v>
      </c>
      <c r="BC41" s="125" t="s">
        <v>45</v>
      </c>
      <c r="BD41" s="128" t="s">
        <v>21</v>
      </c>
      <c r="BE41" s="123" t="s">
        <v>22</v>
      </c>
      <c r="BF41" s="123" t="s">
        <v>23</v>
      </c>
      <c r="BG41" s="123" t="s">
        <v>24</v>
      </c>
      <c r="BH41" s="123" t="s">
        <v>25</v>
      </c>
      <c r="BI41" s="118" t="s">
        <v>26</v>
      </c>
      <c r="BJ41" s="105" t="s">
        <v>11</v>
      </c>
    </row>
    <row r="42" spans="1:62" ht="90" customHeight="1" x14ac:dyDescent="0.25">
      <c r="B42" s="106"/>
      <c r="C42" s="17" t="s">
        <v>4</v>
      </c>
      <c r="D42" s="18"/>
      <c r="E42" s="106"/>
      <c r="F42" s="106"/>
      <c r="G42" s="106"/>
      <c r="H42" s="98"/>
      <c r="I42" s="102"/>
      <c r="J42" s="103"/>
      <c r="K42" s="103"/>
      <c r="L42" s="104"/>
      <c r="M42" s="102"/>
      <c r="N42" s="103"/>
      <c r="O42" s="103"/>
      <c r="P42" s="104"/>
      <c r="Q42" s="102"/>
      <c r="R42" s="103"/>
      <c r="S42" s="103"/>
      <c r="T42" s="104"/>
      <c r="U42" s="102"/>
      <c r="V42" s="103"/>
      <c r="W42" s="103"/>
      <c r="X42" s="104"/>
      <c r="Y42" s="102"/>
      <c r="Z42" s="103"/>
      <c r="AA42" s="103"/>
      <c r="AB42" s="104"/>
      <c r="AC42" s="102"/>
      <c r="AD42" s="103"/>
      <c r="AE42" s="103"/>
      <c r="AF42" s="104"/>
      <c r="AG42" s="102"/>
      <c r="AH42" s="103"/>
      <c r="AI42" s="103"/>
      <c r="AJ42" s="104"/>
      <c r="AK42" s="102"/>
      <c r="AL42" s="103"/>
      <c r="AM42" s="103"/>
      <c r="AN42" s="104"/>
      <c r="AO42" s="102"/>
      <c r="AP42" s="103"/>
      <c r="AQ42" s="103"/>
      <c r="AR42" s="104"/>
      <c r="AS42" s="102"/>
      <c r="AT42" s="103"/>
      <c r="AU42" s="103"/>
      <c r="AV42" s="104"/>
      <c r="AW42" s="102"/>
      <c r="AX42" s="103"/>
      <c r="AY42" s="103"/>
      <c r="AZ42" s="104"/>
      <c r="BA42" s="127"/>
      <c r="BB42" s="127"/>
      <c r="BC42" s="125"/>
      <c r="BD42" s="129"/>
      <c r="BE42" s="124"/>
      <c r="BF42" s="124"/>
      <c r="BG42" s="124"/>
      <c r="BH42" s="124"/>
      <c r="BI42" s="119"/>
      <c r="BJ42" s="106"/>
    </row>
    <row r="43" spans="1:62" ht="30" customHeight="1" x14ac:dyDescent="0.25">
      <c r="A43" s="28">
        <v>1</v>
      </c>
      <c r="B43" s="14">
        <v>1</v>
      </c>
      <c r="C43" s="113" t="s">
        <v>32</v>
      </c>
      <c r="D43" s="113"/>
      <c r="E43" s="1">
        <v>15</v>
      </c>
      <c r="F43" s="1">
        <v>20</v>
      </c>
      <c r="G43" s="1">
        <v>25</v>
      </c>
      <c r="H43" s="1">
        <v>20</v>
      </c>
      <c r="I43" s="77" t="s">
        <v>7</v>
      </c>
      <c r="J43" s="78"/>
      <c r="K43" s="78"/>
      <c r="L43" s="79"/>
      <c r="M43" s="77" t="s">
        <v>3</v>
      </c>
      <c r="N43" s="78"/>
      <c r="O43" s="78"/>
      <c r="P43" s="79"/>
      <c r="Q43" s="77" t="s">
        <v>3</v>
      </c>
      <c r="R43" s="78"/>
      <c r="S43" s="78"/>
      <c r="T43" s="79"/>
      <c r="U43" s="77" t="s">
        <v>3</v>
      </c>
      <c r="V43" s="78"/>
      <c r="W43" s="78"/>
      <c r="X43" s="79"/>
      <c r="Y43" s="77" t="s">
        <v>3</v>
      </c>
      <c r="Z43" s="78"/>
      <c r="AA43" s="78"/>
      <c r="AB43" s="79"/>
      <c r="AC43" s="77"/>
      <c r="AD43" s="78"/>
      <c r="AE43" s="78"/>
      <c r="AF43" s="79"/>
      <c r="AG43" s="77" t="s">
        <v>3</v>
      </c>
      <c r="AH43" s="78"/>
      <c r="AI43" s="78"/>
      <c r="AJ43" s="79"/>
      <c r="AK43" s="77"/>
      <c r="AL43" s="78"/>
      <c r="AM43" s="78"/>
      <c r="AN43" s="79"/>
      <c r="AO43" s="77"/>
      <c r="AP43" s="78"/>
      <c r="AQ43" s="78"/>
      <c r="AR43" s="79"/>
      <c r="AS43" s="77" t="s">
        <v>6</v>
      </c>
      <c r="AT43" s="78"/>
      <c r="AU43" s="78"/>
      <c r="AV43" s="79"/>
      <c r="AW43" s="77" t="s">
        <v>7</v>
      </c>
      <c r="AX43" s="78"/>
      <c r="AY43" s="78"/>
      <c r="AZ43" s="79"/>
      <c r="BA43" s="22">
        <v>2</v>
      </c>
      <c r="BB43" s="22">
        <v>2</v>
      </c>
      <c r="BC43" s="22">
        <v>4</v>
      </c>
      <c r="BD43" s="120"/>
      <c r="BE43" s="30"/>
      <c r="BF43" s="30"/>
      <c r="BG43" s="30"/>
      <c r="BH43" s="30"/>
      <c r="BI43" s="30"/>
      <c r="BJ43" s="14">
        <v>1</v>
      </c>
    </row>
    <row r="44" spans="1:62" ht="30" customHeight="1" x14ac:dyDescent="0.25">
      <c r="A44" s="28">
        <v>1</v>
      </c>
      <c r="B44" s="14">
        <v>2</v>
      </c>
      <c r="C44" s="113" t="s">
        <v>33</v>
      </c>
      <c r="D44" s="113"/>
      <c r="E44" s="1">
        <v>15</v>
      </c>
      <c r="F44" s="1">
        <v>15</v>
      </c>
      <c r="G44" s="1">
        <v>10</v>
      </c>
      <c r="H44" s="1">
        <v>15</v>
      </c>
      <c r="I44" s="77" t="s">
        <v>7</v>
      </c>
      <c r="J44" s="78"/>
      <c r="K44" s="78"/>
      <c r="L44" s="79"/>
      <c r="M44" s="77" t="s">
        <v>6</v>
      </c>
      <c r="N44" s="78"/>
      <c r="O44" s="78"/>
      <c r="P44" s="79"/>
      <c r="Q44" s="77" t="s">
        <v>6</v>
      </c>
      <c r="R44" s="78"/>
      <c r="S44" s="78"/>
      <c r="T44" s="79"/>
      <c r="U44" s="77"/>
      <c r="V44" s="78"/>
      <c r="W44" s="78"/>
      <c r="X44" s="79"/>
      <c r="Y44" s="77" t="s">
        <v>6</v>
      </c>
      <c r="Z44" s="78"/>
      <c r="AA44" s="78"/>
      <c r="AB44" s="79"/>
      <c r="AC44" s="77"/>
      <c r="AD44" s="78"/>
      <c r="AE44" s="78"/>
      <c r="AF44" s="79"/>
      <c r="AG44" s="77"/>
      <c r="AH44" s="78"/>
      <c r="AI44" s="78"/>
      <c r="AJ44" s="79"/>
      <c r="AK44" s="77" t="s">
        <v>6</v>
      </c>
      <c r="AL44" s="78"/>
      <c r="AM44" s="78"/>
      <c r="AN44" s="79"/>
      <c r="AO44" s="77"/>
      <c r="AP44" s="78"/>
      <c r="AQ44" s="78"/>
      <c r="AR44" s="79"/>
      <c r="AS44" s="77"/>
      <c r="AT44" s="78"/>
      <c r="AU44" s="78"/>
      <c r="AV44" s="79"/>
      <c r="AW44" s="77" t="s">
        <v>6</v>
      </c>
      <c r="AX44" s="78"/>
      <c r="AY44" s="78"/>
      <c r="AZ44" s="79"/>
      <c r="BA44" s="22">
        <v>5</v>
      </c>
      <c r="BB44" s="22">
        <v>5</v>
      </c>
      <c r="BC44" s="22">
        <v>4</v>
      </c>
      <c r="BD44" s="121"/>
      <c r="BE44" s="6"/>
      <c r="BF44" s="6"/>
      <c r="BG44" s="6"/>
      <c r="BH44" s="6"/>
      <c r="BI44" s="6"/>
      <c r="BJ44" s="14">
        <v>2</v>
      </c>
    </row>
    <row r="45" spans="1:62" ht="30" customHeight="1" x14ac:dyDescent="0.25">
      <c r="A45" s="28">
        <v>1</v>
      </c>
      <c r="B45" s="14">
        <v>3</v>
      </c>
      <c r="C45" s="113" t="s">
        <v>34</v>
      </c>
      <c r="D45" s="113"/>
      <c r="E45" s="1">
        <v>15</v>
      </c>
      <c r="F45" s="1">
        <v>5</v>
      </c>
      <c r="G45" s="1">
        <v>15</v>
      </c>
      <c r="H45" s="1">
        <v>10</v>
      </c>
      <c r="I45" s="77" t="s">
        <v>6</v>
      </c>
      <c r="J45" s="78"/>
      <c r="K45" s="78"/>
      <c r="L45" s="79"/>
      <c r="M45" s="77" t="s">
        <v>7</v>
      </c>
      <c r="N45" s="78"/>
      <c r="O45" s="78"/>
      <c r="P45" s="79"/>
      <c r="Q45" s="77" t="s">
        <v>6</v>
      </c>
      <c r="R45" s="78"/>
      <c r="S45" s="78"/>
      <c r="T45" s="79"/>
      <c r="U45" s="77"/>
      <c r="V45" s="78"/>
      <c r="W45" s="78"/>
      <c r="X45" s="79"/>
      <c r="Y45" s="77"/>
      <c r="Z45" s="78"/>
      <c r="AA45" s="78"/>
      <c r="AB45" s="79"/>
      <c r="AC45" s="77"/>
      <c r="AD45" s="78"/>
      <c r="AE45" s="78"/>
      <c r="AF45" s="79"/>
      <c r="AG45" s="77"/>
      <c r="AH45" s="78"/>
      <c r="AI45" s="78"/>
      <c r="AJ45" s="79"/>
      <c r="AK45" s="77"/>
      <c r="AL45" s="78"/>
      <c r="AM45" s="78"/>
      <c r="AN45" s="79"/>
      <c r="AO45" s="77" t="s">
        <v>3</v>
      </c>
      <c r="AP45" s="78"/>
      <c r="AQ45" s="78"/>
      <c r="AR45" s="79"/>
      <c r="AS45" s="77" t="s">
        <v>3</v>
      </c>
      <c r="AT45" s="78"/>
      <c r="AU45" s="78"/>
      <c r="AV45" s="79"/>
      <c r="AW45" s="77" t="s">
        <v>3</v>
      </c>
      <c r="AX45" s="78"/>
      <c r="AY45" s="78"/>
      <c r="AZ45" s="79"/>
      <c r="BA45" s="22">
        <v>5</v>
      </c>
      <c r="BB45" s="22">
        <v>4</v>
      </c>
      <c r="BC45" s="22">
        <v>4</v>
      </c>
      <c r="BD45" s="121"/>
      <c r="BE45" s="6"/>
      <c r="BF45" s="6"/>
      <c r="BG45" s="6"/>
      <c r="BH45" s="6"/>
      <c r="BI45" s="6"/>
      <c r="BJ45" s="14">
        <v>3</v>
      </c>
    </row>
    <row r="46" spans="1:62" ht="30" customHeight="1" x14ac:dyDescent="0.25">
      <c r="A46" s="28">
        <v>1</v>
      </c>
      <c r="B46" s="14">
        <v>4</v>
      </c>
      <c r="C46" s="113" t="s">
        <v>70</v>
      </c>
      <c r="D46" s="113"/>
      <c r="E46" s="1">
        <v>10</v>
      </c>
      <c r="F46" s="1">
        <v>15</v>
      </c>
      <c r="G46" s="1">
        <v>15</v>
      </c>
      <c r="H46" s="1">
        <v>10</v>
      </c>
      <c r="I46" s="77"/>
      <c r="J46" s="78"/>
      <c r="K46" s="78"/>
      <c r="L46" s="79"/>
      <c r="M46" s="77"/>
      <c r="N46" s="78"/>
      <c r="O46" s="78"/>
      <c r="P46" s="79"/>
      <c r="Q46" s="77"/>
      <c r="R46" s="78"/>
      <c r="S46" s="78"/>
      <c r="T46" s="79"/>
      <c r="U46" s="77"/>
      <c r="V46" s="78"/>
      <c r="W46" s="78"/>
      <c r="X46" s="79"/>
      <c r="Y46" s="77"/>
      <c r="Z46" s="78"/>
      <c r="AA46" s="78"/>
      <c r="AB46" s="79"/>
      <c r="AC46" s="77"/>
      <c r="AD46" s="78"/>
      <c r="AE46" s="78"/>
      <c r="AF46" s="79"/>
      <c r="AG46" s="77" t="s">
        <v>3</v>
      </c>
      <c r="AH46" s="78"/>
      <c r="AI46" s="78"/>
      <c r="AJ46" s="79"/>
      <c r="AK46" s="77"/>
      <c r="AL46" s="78"/>
      <c r="AM46" s="78"/>
      <c r="AN46" s="79"/>
      <c r="AO46" s="77"/>
      <c r="AP46" s="78"/>
      <c r="AQ46" s="78"/>
      <c r="AR46" s="79"/>
      <c r="AS46" s="77"/>
      <c r="AT46" s="78"/>
      <c r="AU46" s="78"/>
      <c r="AV46" s="79"/>
      <c r="AW46" s="77"/>
      <c r="AX46" s="78"/>
      <c r="AY46" s="78"/>
      <c r="AZ46" s="79"/>
      <c r="BA46" s="22">
        <v>5</v>
      </c>
      <c r="BB46" s="22">
        <v>5</v>
      </c>
      <c r="BC46" s="22">
        <v>5</v>
      </c>
      <c r="BD46" s="121"/>
      <c r="BE46" s="6"/>
      <c r="BF46" s="6"/>
      <c r="BG46" s="6"/>
      <c r="BH46" s="6"/>
      <c r="BI46" s="6"/>
      <c r="BJ46" s="14">
        <v>4</v>
      </c>
    </row>
    <row r="47" spans="1:62" ht="30" customHeight="1" x14ac:dyDescent="0.25">
      <c r="A47" s="28">
        <v>1</v>
      </c>
      <c r="B47" s="14">
        <v>5</v>
      </c>
      <c r="C47" s="77" t="s">
        <v>42</v>
      </c>
      <c r="D47" s="79"/>
      <c r="E47" s="1">
        <v>15</v>
      </c>
      <c r="F47" s="1">
        <v>5</v>
      </c>
      <c r="G47" s="1">
        <v>10</v>
      </c>
      <c r="H47" s="1">
        <v>10</v>
      </c>
      <c r="I47" s="77" t="s">
        <v>7</v>
      </c>
      <c r="J47" s="78"/>
      <c r="K47" s="78"/>
      <c r="L47" s="79"/>
      <c r="M47" s="77" t="s">
        <v>3</v>
      </c>
      <c r="N47" s="78"/>
      <c r="O47" s="78"/>
      <c r="P47" s="79"/>
      <c r="Q47" s="77" t="s">
        <v>7</v>
      </c>
      <c r="R47" s="78"/>
      <c r="S47" s="78"/>
      <c r="T47" s="79"/>
      <c r="U47" s="77" t="s">
        <v>6</v>
      </c>
      <c r="V47" s="78"/>
      <c r="W47" s="78"/>
      <c r="X47" s="79"/>
      <c r="Y47" s="77" t="s">
        <v>3</v>
      </c>
      <c r="Z47" s="78"/>
      <c r="AA47" s="78"/>
      <c r="AB47" s="79"/>
      <c r="AC47" s="77" t="s">
        <v>6</v>
      </c>
      <c r="AD47" s="78"/>
      <c r="AE47" s="78"/>
      <c r="AF47" s="79"/>
      <c r="AG47" s="77" t="s">
        <v>3</v>
      </c>
      <c r="AH47" s="78"/>
      <c r="AI47" s="78"/>
      <c r="AJ47" s="79"/>
      <c r="AK47" s="77" t="s">
        <v>7</v>
      </c>
      <c r="AL47" s="78"/>
      <c r="AM47" s="78"/>
      <c r="AN47" s="79"/>
      <c r="AO47" s="77"/>
      <c r="AP47" s="78"/>
      <c r="AQ47" s="78"/>
      <c r="AR47" s="79"/>
      <c r="AS47" s="77"/>
      <c r="AT47" s="78"/>
      <c r="AU47" s="78"/>
      <c r="AV47" s="79"/>
      <c r="AW47" s="77" t="s">
        <v>6</v>
      </c>
      <c r="AX47" s="78"/>
      <c r="AY47" s="78"/>
      <c r="AZ47" s="79"/>
      <c r="BA47" s="22">
        <v>5</v>
      </c>
      <c r="BB47" s="22">
        <v>2</v>
      </c>
      <c r="BC47" s="22">
        <v>1</v>
      </c>
      <c r="BD47" s="121"/>
      <c r="BE47" s="6"/>
      <c r="BF47" s="6"/>
      <c r="BG47" s="6"/>
      <c r="BH47" s="6"/>
      <c r="BI47" s="6"/>
      <c r="BJ47" s="14">
        <v>5</v>
      </c>
    </row>
    <row r="48" spans="1:62" ht="30" customHeight="1" x14ac:dyDescent="0.25">
      <c r="A48" s="28">
        <v>1</v>
      </c>
      <c r="B48" s="14">
        <v>6</v>
      </c>
      <c r="C48" s="113" t="s">
        <v>30</v>
      </c>
      <c r="D48" s="113"/>
      <c r="E48" s="1">
        <v>10</v>
      </c>
      <c r="F48" s="1">
        <v>10</v>
      </c>
      <c r="G48" s="1">
        <v>5</v>
      </c>
      <c r="H48" s="1">
        <v>5</v>
      </c>
      <c r="I48" s="77" t="s">
        <v>7</v>
      </c>
      <c r="J48" s="78"/>
      <c r="K48" s="78"/>
      <c r="L48" s="79"/>
      <c r="M48" s="77"/>
      <c r="N48" s="78"/>
      <c r="O48" s="78"/>
      <c r="P48" s="79"/>
      <c r="Q48" s="77"/>
      <c r="R48" s="78"/>
      <c r="S48" s="78"/>
      <c r="T48" s="79"/>
      <c r="U48" s="77"/>
      <c r="V48" s="78"/>
      <c r="W48" s="78"/>
      <c r="X48" s="79"/>
      <c r="Y48" s="77" t="s">
        <v>7</v>
      </c>
      <c r="Z48" s="78"/>
      <c r="AA48" s="78"/>
      <c r="AB48" s="79"/>
      <c r="AC48" s="77"/>
      <c r="AD48" s="78"/>
      <c r="AE48" s="78"/>
      <c r="AF48" s="79"/>
      <c r="AG48" s="77"/>
      <c r="AH48" s="78"/>
      <c r="AI48" s="78"/>
      <c r="AJ48" s="79"/>
      <c r="AK48" s="77"/>
      <c r="AL48" s="78"/>
      <c r="AM48" s="78"/>
      <c r="AN48" s="79"/>
      <c r="AO48" s="77"/>
      <c r="AP48" s="78"/>
      <c r="AQ48" s="78"/>
      <c r="AR48" s="79"/>
      <c r="AS48" s="77"/>
      <c r="AT48" s="78"/>
      <c r="AU48" s="78"/>
      <c r="AV48" s="79"/>
      <c r="AW48" s="77" t="s">
        <v>3</v>
      </c>
      <c r="AX48" s="78"/>
      <c r="AY48" s="78"/>
      <c r="AZ48" s="79"/>
      <c r="BA48" s="22">
        <v>3</v>
      </c>
      <c r="BB48" s="22">
        <v>5</v>
      </c>
      <c r="BC48" s="22">
        <v>3</v>
      </c>
      <c r="BD48" s="121"/>
      <c r="BE48" s="6"/>
      <c r="BF48" s="6"/>
      <c r="BG48" s="6"/>
      <c r="BH48" s="6"/>
      <c r="BI48" s="6"/>
      <c r="BJ48" s="14">
        <v>6</v>
      </c>
    </row>
    <row r="49" spans="1:62" ht="30" customHeight="1" x14ac:dyDescent="0.25">
      <c r="A49" s="28">
        <v>1</v>
      </c>
      <c r="B49" s="14">
        <v>7</v>
      </c>
      <c r="C49" s="77" t="s">
        <v>35</v>
      </c>
      <c r="D49" s="79"/>
      <c r="E49" s="1">
        <v>10</v>
      </c>
      <c r="F49" s="1">
        <v>5</v>
      </c>
      <c r="G49" s="1">
        <v>5</v>
      </c>
      <c r="H49" s="1">
        <v>10</v>
      </c>
      <c r="I49" s="77"/>
      <c r="J49" s="78"/>
      <c r="K49" s="78"/>
      <c r="L49" s="79"/>
      <c r="M49" s="77"/>
      <c r="N49" s="78"/>
      <c r="O49" s="78"/>
      <c r="P49" s="79"/>
      <c r="Q49" s="77"/>
      <c r="R49" s="78"/>
      <c r="S49" s="78"/>
      <c r="T49" s="79"/>
      <c r="U49" s="77"/>
      <c r="V49" s="78"/>
      <c r="W49" s="78"/>
      <c r="X49" s="79"/>
      <c r="Y49" s="77"/>
      <c r="Z49" s="78"/>
      <c r="AA49" s="78"/>
      <c r="AB49" s="79"/>
      <c r="AC49" s="77"/>
      <c r="AD49" s="78"/>
      <c r="AE49" s="78"/>
      <c r="AF49" s="79"/>
      <c r="AG49" s="77"/>
      <c r="AH49" s="78"/>
      <c r="AI49" s="78"/>
      <c r="AJ49" s="79"/>
      <c r="AK49" s="77"/>
      <c r="AL49" s="78"/>
      <c r="AM49" s="78"/>
      <c r="AN49" s="79"/>
      <c r="AO49" s="77"/>
      <c r="AP49" s="78"/>
      <c r="AQ49" s="78"/>
      <c r="AR49" s="79"/>
      <c r="AS49" s="77" t="s">
        <v>3</v>
      </c>
      <c r="AT49" s="78"/>
      <c r="AU49" s="78"/>
      <c r="AV49" s="79"/>
      <c r="AW49" s="77" t="s">
        <v>3</v>
      </c>
      <c r="AX49" s="78"/>
      <c r="AY49" s="78"/>
      <c r="AZ49" s="79"/>
      <c r="BA49" s="22">
        <v>5</v>
      </c>
      <c r="BB49" s="22">
        <v>4</v>
      </c>
      <c r="BC49" s="22">
        <v>2</v>
      </c>
      <c r="BD49" s="121"/>
      <c r="BE49" s="6"/>
      <c r="BF49" s="6"/>
      <c r="BG49" s="6"/>
      <c r="BH49" s="6"/>
      <c r="BI49" s="6"/>
      <c r="BJ49" s="14">
        <v>7</v>
      </c>
    </row>
    <row r="50" spans="1:62" ht="30" customHeight="1" x14ac:dyDescent="0.25">
      <c r="A50" s="28">
        <v>1</v>
      </c>
      <c r="B50" s="14">
        <v>8</v>
      </c>
      <c r="C50" s="77" t="s">
        <v>36</v>
      </c>
      <c r="D50" s="79"/>
      <c r="E50" s="1">
        <v>5</v>
      </c>
      <c r="F50" s="1">
        <v>15</v>
      </c>
      <c r="G50" s="1">
        <v>5</v>
      </c>
      <c r="H50" s="1">
        <v>10</v>
      </c>
      <c r="I50" s="77" t="s">
        <v>6</v>
      </c>
      <c r="J50" s="78"/>
      <c r="K50" s="78"/>
      <c r="L50" s="79"/>
      <c r="M50" s="77"/>
      <c r="N50" s="78"/>
      <c r="O50" s="78"/>
      <c r="P50" s="79"/>
      <c r="Q50" s="77"/>
      <c r="R50" s="78"/>
      <c r="S50" s="78"/>
      <c r="T50" s="79"/>
      <c r="U50" s="77"/>
      <c r="V50" s="78"/>
      <c r="W50" s="78"/>
      <c r="X50" s="79"/>
      <c r="Y50" s="77" t="s">
        <v>3</v>
      </c>
      <c r="Z50" s="78"/>
      <c r="AA50" s="78"/>
      <c r="AB50" s="79"/>
      <c r="AC50" s="77"/>
      <c r="AD50" s="78"/>
      <c r="AE50" s="78"/>
      <c r="AF50" s="79"/>
      <c r="AG50" s="77" t="s">
        <v>3</v>
      </c>
      <c r="AH50" s="78"/>
      <c r="AI50" s="78"/>
      <c r="AJ50" s="79"/>
      <c r="AK50" s="77"/>
      <c r="AL50" s="78"/>
      <c r="AM50" s="78"/>
      <c r="AN50" s="79"/>
      <c r="AO50" s="77"/>
      <c r="AP50" s="77"/>
      <c r="AQ50" s="77"/>
      <c r="AR50" s="77"/>
      <c r="AS50" s="77"/>
      <c r="AT50" s="78"/>
      <c r="AU50" s="78"/>
      <c r="AV50" s="79"/>
      <c r="AW50" s="77"/>
      <c r="AX50" s="78"/>
      <c r="AY50" s="78"/>
      <c r="AZ50" s="79"/>
      <c r="BA50" s="22">
        <v>3</v>
      </c>
      <c r="BB50" s="22">
        <v>5</v>
      </c>
      <c r="BC50" s="22">
        <v>4</v>
      </c>
      <c r="BD50" s="121"/>
      <c r="BE50" s="6"/>
      <c r="BF50" s="6"/>
      <c r="BG50" s="6"/>
      <c r="BH50" s="6"/>
      <c r="BI50" s="6"/>
      <c r="BJ50" s="14">
        <v>8</v>
      </c>
    </row>
    <row r="51" spans="1:62" ht="30" customHeight="1" x14ac:dyDescent="0.25">
      <c r="A51" s="28">
        <v>1</v>
      </c>
      <c r="B51" s="14">
        <v>9</v>
      </c>
      <c r="C51" s="77" t="s">
        <v>31</v>
      </c>
      <c r="D51" s="79"/>
      <c r="E51" s="1">
        <v>5</v>
      </c>
      <c r="F51" s="1">
        <v>10</v>
      </c>
      <c r="G51" s="1">
        <v>10</v>
      </c>
      <c r="H51" s="1">
        <v>10</v>
      </c>
      <c r="I51" s="77" t="s">
        <v>6</v>
      </c>
      <c r="J51" s="78"/>
      <c r="K51" s="78"/>
      <c r="L51" s="79"/>
      <c r="M51" s="77"/>
      <c r="N51" s="78"/>
      <c r="O51" s="78"/>
      <c r="P51" s="79"/>
      <c r="Q51" s="77"/>
      <c r="R51" s="78"/>
      <c r="S51" s="78"/>
      <c r="T51" s="79"/>
      <c r="U51" s="77"/>
      <c r="V51" s="78"/>
      <c r="W51" s="78"/>
      <c r="X51" s="79"/>
      <c r="Y51" s="77" t="s">
        <v>3</v>
      </c>
      <c r="Z51" s="78"/>
      <c r="AA51" s="78"/>
      <c r="AB51" s="79"/>
      <c r="AC51" s="77" t="s">
        <v>3</v>
      </c>
      <c r="AD51" s="78"/>
      <c r="AE51" s="78"/>
      <c r="AF51" s="79"/>
      <c r="AG51" s="77"/>
      <c r="AH51" s="78"/>
      <c r="AI51" s="78"/>
      <c r="AJ51" s="79"/>
      <c r="AK51" s="77" t="s">
        <v>3</v>
      </c>
      <c r="AL51" s="78"/>
      <c r="AM51" s="78"/>
      <c r="AN51" s="79"/>
      <c r="AO51" s="77"/>
      <c r="AP51" s="78"/>
      <c r="AQ51" s="78"/>
      <c r="AR51" s="79"/>
      <c r="AS51" s="77"/>
      <c r="AT51" s="78"/>
      <c r="AU51" s="78"/>
      <c r="AV51" s="79"/>
      <c r="AW51" s="77"/>
      <c r="AX51" s="78"/>
      <c r="AY51" s="78"/>
      <c r="AZ51" s="79"/>
      <c r="BA51" s="22">
        <v>5</v>
      </c>
      <c r="BB51" s="22">
        <v>4</v>
      </c>
      <c r="BC51" s="22">
        <v>3</v>
      </c>
      <c r="BD51" s="122"/>
      <c r="BE51" s="31"/>
      <c r="BF51" s="31"/>
      <c r="BG51" s="31"/>
      <c r="BH51" s="31"/>
      <c r="BI51" s="31"/>
      <c r="BJ51" s="14">
        <v>9</v>
      </c>
    </row>
    <row r="52" spans="1:62" ht="63.75" customHeight="1" x14ac:dyDescent="0.25">
      <c r="G52" s="20"/>
      <c r="H52" s="19" t="s">
        <v>10</v>
      </c>
      <c r="I52" s="84" t="s">
        <v>72</v>
      </c>
      <c r="J52" s="85"/>
      <c r="K52" s="85"/>
      <c r="L52" s="86"/>
      <c r="M52" s="93">
        <v>0.9</v>
      </c>
      <c r="N52" s="85"/>
      <c r="O52" s="85"/>
      <c r="P52" s="86"/>
      <c r="Q52" s="93">
        <v>0.8</v>
      </c>
      <c r="R52" s="85"/>
      <c r="S52" s="85"/>
      <c r="T52" s="86"/>
      <c r="U52" s="93">
        <v>0.95</v>
      </c>
      <c r="V52" s="85"/>
      <c r="W52" s="85"/>
      <c r="X52" s="86"/>
      <c r="Y52" s="94">
        <v>500</v>
      </c>
      <c r="Z52" s="85"/>
      <c r="AA52" s="85"/>
      <c r="AB52" s="86"/>
      <c r="AC52" s="84" t="s">
        <v>73</v>
      </c>
      <c r="AD52" s="85"/>
      <c r="AE52" s="85"/>
      <c r="AF52" s="86"/>
      <c r="AG52" s="84" t="s">
        <v>75</v>
      </c>
      <c r="AH52" s="85"/>
      <c r="AI52" s="85"/>
      <c r="AJ52" s="86"/>
      <c r="AK52" s="84" t="s">
        <v>80</v>
      </c>
      <c r="AL52" s="85"/>
      <c r="AM52" s="85"/>
      <c r="AN52" s="86"/>
      <c r="AO52" s="84" t="s">
        <v>77</v>
      </c>
      <c r="AP52" s="85"/>
      <c r="AQ52" s="85"/>
      <c r="AR52" s="86"/>
      <c r="AS52" s="84" t="s">
        <v>79</v>
      </c>
      <c r="AT52" s="85"/>
      <c r="AU52" s="85"/>
      <c r="AV52" s="86"/>
      <c r="AW52" s="84">
        <v>15</v>
      </c>
      <c r="AX52" s="85"/>
      <c r="AY52" s="85"/>
      <c r="AZ52" s="86"/>
    </row>
    <row r="53" spans="1:62" ht="63.75" customHeight="1" x14ac:dyDescent="0.25">
      <c r="G53" s="21"/>
      <c r="H53" s="27" t="s">
        <v>47</v>
      </c>
      <c r="I53" s="84" t="s">
        <v>71</v>
      </c>
      <c r="J53" s="85"/>
      <c r="K53" s="85"/>
      <c r="L53" s="86"/>
      <c r="M53" s="93">
        <v>0.6</v>
      </c>
      <c r="N53" s="85"/>
      <c r="O53" s="85"/>
      <c r="P53" s="86"/>
      <c r="Q53" s="93">
        <v>0.6</v>
      </c>
      <c r="R53" s="85"/>
      <c r="S53" s="85"/>
      <c r="T53" s="86"/>
      <c r="U53" s="93">
        <v>0.85</v>
      </c>
      <c r="V53" s="85"/>
      <c r="W53" s="85"/>
      <c r="X53" s="86"/>
      <c r="Y53" s="94">
        <v>700</v>
      </c>
      <c r="Z53" s="85"/>
      <c r="AA53" s="85"/>
      <c r="AB53" s="86"/>
      <c r="AC53" s="84" t="s">
        <v>74</v>
      </c>
      <c r="AD53" s="85"/>
      <c r="AE53" s="85"/>
      <c r="AF53" s="86"/>
      <c r="AG53" s="84" t="s">
        <v>76</v>
      </c>
      <c r="AH53" s="85"/>
      <c r="AI53" s="85"/>
      <c r="AJ53" s="86"/>
      <c r="AK53" s="84" t="s">
        <v>81</v>
      </c>
      <c r="AL53" s="85"/>
      <c r="AM53" s="85"/>
      <c r="AN53" s="86"/>
      <c r="AO53" s="84" t="s">
        <v>78</v>
      </c>
      <c r="AP53" s="85"/>
      <c r="AQ53" s="85"/>
      <c r="AR53" s="86"/>
      <c r="AS53" s="84" t="s">
        <v>78</v>
      </c>
      <c r="AT53" s="85"/>
      <c r="AU53" s="85"/>
      <c r="AV53" s="86"/>
      <c r="AW53" s="84">
        <v>40</v>
      </c>
      <c r="AX53" s="85"/>
      <c r="AY53" s="85"/>
      <c r="AZ53" s="86"/>
    </row>
    <row r="54" spans="1:62" ht="33" customHeight="1" x14ac:dyDescent="0.25">
      <c r="E54" s="87" t="s">
        <v>46</v>
      </c>
      <c r="F54" s="82" t="str">
        <f>E41</f>
        <v>Hobby Cyclists</v>
      </c>
      <c r="G54" s="82"/>
      <c r="H54" s="82"/>
      <c r="I54" s="90">
        <f>I94/I$147</f>
        <v>0.26027397260273971</v>
      </c>
      <c r="J54" s="91"/>
      <c r="K54" s="91"/>
      <c r="L54" s="92"/>
      <c r="M54" s="90">
        <f t="shared" ref="M54" si="0">M94/M$147</f>
        <v>0.24905660377358491</v>
      </c>
      <c r="N54" s="91"/>
      <c r="O54" s="91"/>
      <c r="P54" s="92"/>
      <c r="Q54" s="90">
        <f t="shared" ref="Q54" si="1">Q94/Q$147</f>
        <v>0.21319796954314721</v>
      </c>
      <c r="R54" s="91"/>
      <c r="S54" s="91"/>
      <c r="T54" s="92"/>
      <c r="U54" s="90">
        <f t="shared" ref="U54" si="2">U94/U$147</f>
        <v>0.18633540372670807</v>
      </c>
      <c r="V54" s="91"/>
      <c r="W54" s="91"/>
      <c r="X54" s="92"/>
      <c r="Y54" s="90">
        <f t="shared" ref="Y54" si="3">Y94/Y$147</f>
        <v>0.21891891891891893</v>
      </c>
      <c r="Z54" s="91"/>
      <c r="AA54" s="91"/>
      <c r="AB54" s="92"/>
      <c r="AC54" s="90">
        <f t="shared" ref="AC54" si="4">AC94/AC$147</f>
        <v>0.16901408450704225</v>
      </c>
      <c r="AD54" s="91"/>
      <c r="AE54" s="91"/>
      <c r="AF54" s="92"/>
      <c r="AG54" s="90">
        <f t="shared" ref="AG54" si="5">AG94/AG$147</f>
        <v>0.21428571428571427</v>
      </c>
      <c r="AH54" s="91"/>
      <c r="AI54" s="91"/>
      <c r="AJ54" s="92"/>
      <c r="AK54" s="90">
        <f t="shared" ref="AK54" si="6">AK94/AK$147</f>
        <v>0.21649484536082475</v>
      </c>
      <c r="AL54" s="91"/>
      <c r="AM54" s="91"/>
      <c r="AN54" s="92"/>
      <c r="AO54" s="90">
        <f t="shared" ref="AO54" si="7">AO94/AO$147</f>
        <v>0.3</v>
      </c>
      <c r="AP54" s="91"/>
      <c r="AQ54" s="91"/>
      <c r="AR54" s="92"/>
      <c r="AS54" s="90">
        <f t="shared" ref="AS54" si="8">AS94/AS$147</f>
        <v>0.31578947368421051</v>
      </c>
      <c r="AT54" s="91"/>
      <c r="AU54" s="91"/>
      <c r="AV54" s="92"/>
      <c r="AW54" s="90">
        <f t="shared" ref="AW54" si="9">AW94/AW$147</f>
        <v>0.30232558139534882</v>
      </c>
      <c r="AX54" s="91"/>
      <c r="AY54" s="91"/>
      <c r="AZ54" s="92"/>
    </row>
    <row r="55" spans="1:62" s="13" customFormat="1" ht="33" customHeight="1" x14ac:dyDescent="0.25">
      <c r="E55" s="88"/>
      <c r="F55" s="83" t="str">
        <f>F41</f>
        <v>Competitive Cyclists</v>
      </c>
      <c r="G55" s="83"/>
      <c r="H55" s="83"/>
      <c r="I55" s="90">
        <f>I111/I$147</f>
        <v>0.24657534246575341</v>
      </c>
      <c r="J55" s="91"/>
      <c r="K55" s="91"/>
      <c r="L55" s="92"/>
      <c r="M55" s="90">
        <f t="shared" ref="M55" si="10">M111/M$147</f>
        <v>0.19245283018867926</v>
      </c>
      <c r="N55" s="91"/>
      <c r="O55" s="91"/>
      <c r="P55" s="92"/>
      <c r="Q55" s="90">
        <f t="shared" ref="Q55" si="11">Q111/Q$147</f>
        <v>0.21827411167512689</v>
      </c>
      <c r="R55" s="91"/>
      <c r="S55" s="91"/>
      <c r="T55" s="92"/>
      <c r="U55" s="90">
        <f t="shared" ref="U55" si="12">U111/U$147</f>
        <v>0.22981366459627328</v>
      </c>
      <c r="V55" s="91"/>
      <c r="W55" s="91"/>
      <c r="X55" s="92"/>
      <c r="Y55" s="90">
        <f t="shared" ref="Y55" si="13">Y111/Y$147</f>
        <v>0.26756756756756755</v>
      </c>
      <c r="Z55" s="91"/>
      <c r="AA55" s="91"/>
      <c r="AB55" s="92"/>
      <c r="AC55" s="90">
        <f t="shared" ref="AC55" si="14">AC111/AC$147</f>
        <v>0.26760563380281688</v>
      </c>
      <c r="AD55" s="91"/>
      <c r="AE55" s="91"/>
      <c r="AF55" s="92"/>
      <c r="AG55" s="90">
        <f t="shared" ref="AG55" si="15">AG111/AG$147</f>
        <v>0.26190476190476192</v>
      </c>
      <c r="AH55" s="91"/>
      <c r="AI55" s="91"/>
      <c r="AJ55" s="92"/>
      <c r="AK55" s="90">
        <f t="shared" ref="AK55" si="16">AK111/AK$147</f>
        <v>0.24742268041237114</v>
      </c>
      <c r="AL55" s="91"/>
      <c r="AM55" s="91"/>
      <c r="AN55" s="92"/>
      <c r="AO55" s="90">
        <f t="shared" ref="AO55" si="17">AO111/AO$147</f>
        <v>0.1</v>
      </c>
      <c r="AP55" s="91"/>
      <c r="AQ55" s="91"/>
      <c r="AR55" s="92"/>
      <c r="AS55" s="90">
        <f t="shared" ref="AS55" si="18">AS111/AS$147</f>
        <v>0.14473684210526316</v>
      </c>
      <c r="AT55" s="91"/>
      <c r="AU55" s="91"/>
      <c r="AV55" s="92"/>
      <c r="AW55" s="90">
        <f t="shared" ref="AW55" si="19">AW111/AW$147</f>
        <v>0.20155038759689922</v>
      </c>
      <c r="AX55" s="91"/>
      <c r="AY55" s="91"/>
      <c r="AZ55" s="92"/>
    </row>
    <row r="56" spans="1:62" ht="33" customHeight="1" x14ac:dyDescent="0.25">
      <c r="A56" s="6"/>
      <c r="B56" s="6"/>
      <c r="E56" s="88"/>
      <c r="F56" s="83" t="str">
        <f>G41</f>
        <v>Trainers</v>
      </c>
      <c r="G56" s="83"/>
      <c r="H56" s="83"/>
      <c r="I56" s="90">
        <f>I128/I$147</f>
        <v>0.24657534246575341</v>
      </c>
      <c r="J56" s="91"/>
      <c r="K56" s="91"/>
      <c r="L56" s="92"/>
      <c r="M56" s="90">
        <f t="shared" ref="M56" si="20">M128/M$147</f>
        <v>0.27924528301886792</v>
      </c>
      <c r="N56" s="91"/>
      <c r="O56" s="91"/>
      <c r="P56" s="92"/>
      <c r="Q56" s="90">
        <f t="shared" ref="Q56" si="21">Q128/Q$147</f>
        <v>0.28426395939086296</v>
      </c>
      <c r="R56" s="91"/>
      <c r="S56" s="91"/>
      <c r="T56" s="92"/>
      <c r="U56" s="90">
        <f t="shared" ref="U56" si="22">U128/U$147</f>
        <v>0.29192546583850931</v>
      </c>
      <c r="V56" s="91"/>
      <c r="W56" s="91"/>
      <c r="X56" s="92"/>
      <c r="Y56" s="90">
        <f t="shared" ref="Y56" si="23">Y128/Y$147</f>
        <v>0.25675675675675674</v>
      </c>
      <c r="Z56" s="91"/>
      <c r="AA56" s="91"/>
      <c r="AB56" s="92"/>
      <c r="AC56" s="90">
        <f t="shared" ref="AC56" si="24">AC128/AC$147</f>
        <v>0.28169014084507044</v>
      </c>
      <c r="AD56" s="91"/>
      <c r="AE56" s="91"/>
      <c r="AF56" s="92"/>
      <c r="AG56" s="90">
        <f t="shared" ref="AG56" si="25">AG128/AG$147</f>
        <v>0.26190476190476192</v>
      </c>
      <c r="AH56" s="91"/>
      <c r="AI56" s="91"/>
      <c r="AJ56" s="92"/>
      <c r="AK56" s="90">
        <f t="shared" ref="AK56" si="26">AK128/AK$147</f>
        <v>0.26804123711340205</v>
      </c>
      <c r="AL56" s="91"/>
      <c r="AM56" s="91"/>
      <c r="AN56" s="92"/>
      <c r="AO56" s="90">
        <f t="shared" ref="AO56" si="27">AO128/AO$147</f>
        <v>0.3</v>
      </c>
      <c r="AP56" s="91"/>
      <c r="AQ56" s="91"/>
      <c r="AR56" s="92"/>
      <c r="AS56" s="90">
        <f t="shared" ref="AS56" si="28">AS128/AS$147</f>
        <v>0.26973684210526316</v>
      </c>
      <c r="AT56" s="91"/>
      <c r="AU56" s="91"/>
      <c r="AV56" s="92"/>
      <c r="AW56" s="90">
        <f t="shared" ref="AW56" si="29">AW128/AW$147</f>
        <v>0.24806201550387597</v>
      </c>
      <c r="AX56" s="91"/>
      <c r="AY56" s="91"/>
      <c r="AZ56" s="92"/>
    </row>
    <row r="57" spans="1:62" ht="33" customHeight="1" x14ac:dyDescent="0.25">
      <c r="A57" s="6"/>
      <c r="B57" s="6"/>
      <c r="E57" s="89"/>
      <c r="F57" s="82" t="str">
        <f>H41</f>
        <v>Athletes</v>
      </c>
      <c r="G57" s="82"/>
      <c r="H57" s="82"/>
      <c r="I57" s="90">
        <f>I145/I$147</f>
        <v>0.24657534246575341</v>
      </c>
      <c r="J57" s="91"/>
      <c r="K57" s="91"/>
      <c r="L57" s="92"/>
      <c r="M57" s="90">
        <f t="shared" ref="M57" si="30">M145/M$147</f>
        <v>0.27924528301886792</v>
      </c>
      <c r="N57" s="91"/>
      <c r="O57" s="91"/>
      <c r="P57" s="92"/>
      <c r="Q57" s="90">
        <f t="shared" ref="Q57" si="31">Q145/Q$147</f>
        <v>0.28426395939086296</v>
      </c>
      <c r="R57" s="91"/>
      <c r="S57" s="91"/>
      <c r="T57" s="92"/>
      <c r="U57" s="90">
        <f t="shared" ref="U57" si="32">U145/U$147</f>
        <v>0.29192546583850931</v>
      </c>
      <c r="V57" s="91"/>
      <c r="W57" s="91"/>
      <c r="X57" s="92"/>
      <c r="Y57" s="90">
        <f t="shared" ref="Y57" si="33">Y145/Y$147</f>
        <v>0.25675675675675674</v>
      </c>
      <c r="Z57" s="91"/>
      <c r="AA57" s="91"/>
      <c r="AB57" s="92"/>
      <c r="AC57" s="90">
        <f t="shared" ref="AC57" si="34">AC145/AC$147</f>
        <v>0.28169014084507044</v>
      </c>
      <c r="AD57" s="91"/>
      <c r="AE57" s="91"/>
      <c r="AF57" s="92"/>
      <c r="AG57" s="90">
        <f t="shared" ref="AG57" si="35">AG145/AG$147</f>
        <v>0.26190476190476192</v>
      </c>
      <c r="AH57" s="91"/>
      <c r="AI57" s="91"/>
      <c r="AJ57" s="92"/>
      <c r="AK57" s="90">
        <f t="shared" ref="AK57" si="36">AK145/AK$147</f>
        <v>0.26804123711340205</v>
      </c>
      <c r="AL57" s="91"/>
      <c r="AM57" s="91"/>
      <c r="AN57" s="92"/>
      <c r="AO57" s="90">
        <f t="shared" ref="AO57" si="37">AO145/AO$147</f>
        <v>0.3</v>
      </c>
      <c r="AP57" s="91"/>
      <c r="AQ57" s="91"/>
      <c r="AR57" s="92"/>
      <c r="AS57" s="90">
        <f t="shared" ref="AS57" si="38">AS145/AS$147</f>
        <v>0.26973684210526316</v>
      </c>
      <c r="AT57" s="91"/>
      <c r="AU57" s="91"/>
      <c r="AV57" s="92"/>
      <c r="AW57" s="90">
        <f t="shared" ref="AW57" si="39">AW145/AW$147</f>
        <v>0.24806201550387597</v>
      </c>
      <c r="AX57" s="91"/>
      <c r="AY57" s="91"/>
      <c r="AZ57" s="92"/>
    </row>
    <row r="58" spans="1:62" ht="26.25" customHeight="1" x14ac:dyDescent="0.25">
      <c r="A58" s="6"/>
      <c r="B58" s="12"/>
    </row>
    <row r="59" spans="1:62" ht="26.25" customHeight="1" x14ac:dyDescent="0.25">
      <c r="A59" s="6"/>
      <c r="B59" s="12"/>
    </row>
    <row r="60" spans="1:62" ht="26.25" customHeight="1" x14ac:dyDescent="0.25">
      <c r="A60" s="6"/>
      <c r="B60" s="12"/>
    </row>
    <row r="61" spans="1:62" ht="26.25" customHeight="1" x14ac:dyDescent="0.25">
      <c r="A61" s="6"/>
      <c r="B61" s="12"/>
    </row>
    <row r="62" spans="1:62" ht="26.25" customHeight="1" x14ac:dyDescent="0.25">
      <c r="A62" s="6"/>
      <c r="B62" s="12"/>
      <c r="H62" s="67" t="s">
        <v>82</v>
      </c>
      <c r="I62" s="52" cm="1">
        <f t="array" ref="I62">_xlfn.IFS(I43="",0,I43="○",3,I43="▽",1,I43="●",9)</f>
        <v>3</v>
      </c>
      <c r="J62" s="53"/>
      <c r="K62" s="53"/>
      <c r="L62" s="54"/>
      <c r="M62" s="52" cm="1">
        <f t="array" ref="M62">_xlfn.IFS(M43="",0,M43="○",3,M43="▽",1,M43="●",9)</f>
        <v>9</v>
      </c>
      <c r="N62" s="53"/>
      <c r="O62" s="53"/>
      <c r="P62" s="54"/>
      <c r="Q62" s="52" cm="1">
        <f t="array" ref="Q62">_xlfn.IFS(Q43="",0,Q43="○",3,Q43="▽",1,Q43="●",9)</f>
        <v>9</v>
      </c>
      <c r="R62" s="53"/>
      <c r="S62" s="53"/>
      <c r="T62" s="54"/>
      <c r="U62" s="52" cm="1">
        <f t="array" ref="U62">_xlfn.IFS(U43="",0,U43="○",3,U43="▽",1,U43="●",9)</f>
        <v>9</v>
      </c>
      <c r="V62" s="53"/>
      <c r="W62" s="53"/>
      <c r="X62" s="54"/>
      <c r="Y62" s="52" cm="1">
        <f t="array" ref="Y62">_xlfn.IFS(Y43="",0,Y43="○",3,Y43="▽",1,Y43="●",9)</f>
        <v>9</v>
      </c>
      <c r="Z62" s="53"/>
      <c r="AA62" s="53"/>
      <c r="AB62" s="54"/>
      <c r="AC62" s="52" cm="1">
        <f t="array" ref="AC62">_xlfn.IFS(AC43="",0,AC43="○",3,AC43="▽",1,AC43="●",9)</f>
        <v>0</v>
      </c>
      <c r="AD62" s="53"/>
      <c r="AE62" s="53"/>
      <c r="AF62" s="54"/>
      <c r="AG62" s="52" cm="1">
        <f t="array" ref="AG62">_xlfn.IFS(AG43="",0,AG43="○",3,AG43="▽",1,AG43="●",9)</f>
        <v>9</v>
      </c>
      <c r="AH62" s="53"/>
      <c r="AI62" s="53"/>
      <c r="AJ62" s="54"/>
      <c r="AK62" s="52" cm="1">
        <f t="array" ref="AK62">_xlfn.IFS(AK43="",0,AK43="○",3,AK43="▽",1,AK43="●",9)</f>
        <v>0</v>
      </c>
      <c r="AL62" s="53"/>
      <c r="AM62" s="53"/>
      <c r="AN62" s="54"/>
      <c r="AO62" s="52" cm="1">
        <f t="array" ref="AO62">_xlfn.IFS(AO43="",0,AO43="○",3,AO43="▽",1,AO43="●",9)</f>
        <v>0</v>
      </c>
      <c r="AP62" s="53"/>
      <c r="AQ62" s="53"/>
      <c r="AR62" s="54"/>
      <c r="AS62" s="52" cm="1">
        <f t="array" ref="AS62">_xlfn.IFS(AS43="",0,AS43="○",3,AS43="▽",1,AS43="●",9)</f>
        <v>1</v>
      </c>
      <c r="AT62" s="53"/>
      <c r="AU62" s="53"/>
      <c r="AV62" s="54"/>
      <c r="AW62" s="52" cm="1">
        <f t="array" ref="AW62">_xlfn.IFS(AW43="",0,AW43="○",3,AW43="▽",1,AW43="●",9)</f>
        <v>3</v>
      </c>
      <c r="AX62" s="53"/>
      <c r="AY62" s="53"/>
      <c r="AZ62" s="54"/>
    </row>
    <row r="63" spans="1:62" ht="26.25" customHeight="1" x14ac:dyDescent="0.25">
      <c r="A63" s="6"/>
      <c r="B63" s="12"/>
      <c r="H63" s="67"/>
      <c r="I63" s="52" cm="1">
        <f t="array" ref="I63">_xlfn.IFS(I44="",0,I44="○",3,I44="▽",1,I44="●",9)</f>
        <v>3</v>
      </c>
      <c r="J63" s="53"/>
      <c r="K63" s="53"/>
      <c r="L63" s="54"/>
      <c r="M63" s="52" cm="1">
        <f t="array" ref="M63">_xlfn.IFS(M44="",0,M44="○",3,M44="▽",1,M44="●",9)</f>
        <v>1</v>
      </c>
      <c r="N63" s="53"/>
      <c r="O63" s="53"/>
      <c r="P63" s="54"/>
      <c r="Q63" s="52" cm="1">
        <f t="array" ref="Q63">_xlfn.IFS(Q44="",0,Q44="○",3,Q44="▽",1,Q44="●",9)</f>
        <v>1</v>
      </c>
      <c r="R63" s="53"/>
      <c r="S63" s="53"/>
      <c r="T63" s="54"/>
      <c r="U63" s="52" cm="1">
        <f t="array" ref="U63">_xlfn.IFS(U44="",0,U44="○",3,U44="▽",1,U44="●",9)</f>
        <v>0</v>
      </c>
      <c r="V63" s="53"/>
      <c r="W63" s="53"/>
      <c r="X63" s="54"/>
      <c r="Y63" s="52" cm="1">
        <f t="array" ref="Y63">_xlfn.IFS(Y44="",0,Y44="○",3,Y44="▽",1,Y44="●",9)</f>
        <v>1</v>
      </c>
      <c r="Z63" s="53"/>
      <c r="AA63" s="53"/>
      <c r="AB63" s="54"/>
      <c r="AC63" s="52" cm="1">
        <f t="array" ref="AC63">_xlfn.IFS(AC44="",0,AC44="○",3,AC44="▽",1,AC44="●",9)</f>
        <v>0</v>
      </c>
      <c r="AD63" s="53"/>
      <c r="AE63" s="53"/>
      <c r="AF63" s="54"/>
      <c r="AG63" s="52" cm="1">
        <f t="array" ref="AG63">_xlfn.IFS(AG44="",0,AG44="○",3,AG44="▽",1,AG44="●",9)</f>
        <v>0</v>
      </c>
      <c r="AH63" s="53"/>
      <c r="AI63" s="53"/>
      <c r="AJ63" s="54"/>
      <c r="AK63" s="52" cm="1">
        <f t="array" ref="AK63">_xlfn.IFS(AK44="",0,AK44="○",3,AK44="▽",1,AK44="●",9)</f>
        <v>1</v>
      </c>
      <c r="AL63" s="53"/>
      <c r="AM63" s="53"/>
      <c r="AN63" s="54"/>
      <c r="AO63" s="52" cm="1">
        <f t="array" ref="AO63">_xlfn.IFS(AO44="",0,AO44="○",3,AO44="▽",1,AO44="●",9)</f>
        <v>0</v>
      </c>
      <c r="AP63" s="53"/>
      <c r="AQ63" s="53"/>
      <c r="AR63" s="54"/>
      <c r="AS63" s="52" cm="1">
        <f t="array" ref="AS63">_xlfn.IFS(AS44="",0,AS44="○",3,AS44="▽",1,AS44="●",9)</f>
        <v>0</v>
      </c>
      <c r="AT63" s="53"/>
      <c r="AU63" s="53"/>
      <c r="AV63" s="54"/>
      <c r="AW63" s="52" cm="1">
        <f t="array" ref="AW63">_xlfn.IFS(AW44="",0,AW44="○",3,AW44="▽",1,AW44="●",9)</f>
        <v>1</v>
      </c>
      <c r="AX63" s="53"/>
      <c r="AY63" s="53"/>
      <c r="AZ63" s="54"/>
    </row>
    <row r="64" spans="1:62" ht="26.25" customHeight="1" x14ac:dyDescent="0.25">
      <c r="A64" s="6"/>
      <c r="B64" s="12"/>
      <c r="H64" s="67"/>
      <c r="I64" s="52" cm="1">
        <f t="array" ref="I64">_xlfn.IFS(I45="",0,I45="○",3,I45="▽",1,I45="●",9)</f>
        <v>1</v>
      </c>
      <c r="J64" s="53"/>
      <c r="K64" s="53"/>
      <c r="L64" s="54"/>
      <c r="M64" s="52" cm="1">
        <f t="array" ref="M64">_xlfn.IFS(M45="",0,M45="○",3,M45="▽",1,M45="●",9)</f>
        <v>3</v>
      </c>
      <c r="N64" s="53"/>
      <c r="O64" s="53"/>
      <c r="P64" s="54"/>
      <c r="Q64" s="52" cm="1">
        <f t="array" ref="Q64">_xlfn.IFS(Q45="",0,Q45="○",3,Q45="▽",1,Q45="●",9)</f>
        <v>1</v>
      </c>
      <c r="R64" s="53"/>
      <c r="S64" s="53"/>
      <c r="T64" s="54"/>
      <c r="U64" s="52" cm="1">
        <f t="array" ref="U64">_xlfn.IFS(U45="",0,U45="○",3,U45="▽",1,U45="●",9)</f>
        <v>0</v>
      </c>
      <c r="V64" s="53"/>
      <c r="W64" s="53"/>
      <c r="X64" s="54"/>
      <c r="Y64" s="52" cm="1">
        <f t="array" ref="Y64">_xlfn.IFS(Y45="",0,Y45="○",3,Y45="▽",1,Y45="●",9)</f>
        <v>0</v>
      </c>
      <c r="Z64" s="53"/>
      <c r="AA64" s="53"/>
      <c r="AB64" s="54"/>
      <c r="AC64" s="52" cm="1">
        <f t="array" ref="AC64">_xlfn.IFS(AC45="",0,AC45="○",3,AC45="▽",1,AC45="●",9)</f>
        <v>0</v>
      </c>
      <c r="AD64" s="53"/>
      <c r="AE64" s="53"/>
      <c r="AF64" s="54"/>
      <c r="AG64" s="52" cm="1">
        <f t="array" ref="AG64">_xlfn.IFS(AG45="",0,AG45="○",3,AG45="▽",1,AG45="●",9)</f>
        <v>0</v>
      </c>
      <c r="AH64" s="53"/>
      <c r="AI64" s="53"/>
      <c r="AJ64" s="54"/>
      <c r="AK64" s="52" cm="1">
        <f t="array" ref="AK64">_xlfn.IFS(AK45="",0,AK45="○",3,AK45="▽",1,AK45="●",9)</f>
        <v>0</v>
      </c>
      <c r="AL64" s="53"/>
      <c r="AM64" s="53"/>
      <c r="AN64" s="54"/>
      <c r="AO64" s="52" cm="1">
        <f t="array" ref="AO64">_xlfn.IFS(AO45="",0,AO45="○",3,AO45="▽",1,AO45="●",9)</f>
        <v>9</v>
      </c>
      <c r="AP64" s="53"/>
      <c r="AQ64" s="53"/>
      <c r="AR64" s="54"/>
      <c r="AS64" s="52" cm="1">
        <f t="array" ref="AS64">_xlfn.IFS(AS45="",0,AS45="○",3,AS45="▽",1,AS45="●",9)</f>
        <v>9</v>
      </c>
      <c r="AT64" s="53"/>
      <c r="AU64" s="53"/>
      <c r="AV64" s="54"/>
      <c r="AW64" s="52" cm="1">
        <f t="array" ref="AW64">_xlfn.IFS(AW45="",0,AW45="○",3,AW45="▽",1,AW45="●",9)</f>
        <v>9</v>
      </c>
      <c r="AX64" s="53"/>
      <c r="AY64" s="53"/>
      <c r="AZ64" s="54"/>
    </row>
    <row r="65" spans="1:52" ht="26.25" customHeight="1" x14ac:dyDescent="0.25">
      <c r="A65" s="6"/>
      <c r="B65" s="12"/>
      <c r="H65" s="67"/>
      <c r="I65" s="52" cm="1">
        <f t="array" ref="I65">_xlfn.IFS(I46="",0,I46="○",3,I46="▽",1,I46="●",9)</f>
        <v>0</v>
      </c>
      <c r="J65" s="53"/>
      <c r="K65" s="53"/>
      <c r="L65" s="54"/>
      <c r="M65" s="52" cm="1">
        <f t="array" ref="M65">_xlfn.IFS(M46="",0,M46="○",3,M46="▽",1,M46="●",9)</f>
        <v>0</v>
      </c>
      <c r="N65" s="53"/>
      <c r="O65" s="53"/>
      <c r="P65" s="54"/>
      <c r="Q65" s="52" cm="1">
        <f t="array" ref="Q65">_xlfn.IFS(Q46="",0,Q46="○",3,Q46="▽",1,Q46="●",9)</f>
        <v>0</v>
      </c>
      <c r="R65" s="53"/>
      <c r="S65" s="53"/>
      <c r="T65" s="54"/>
      <c r="U65" s="52" cm="1">
        <f t="array" ref="U65">_xlfn.IFS(U46="",0,U46="○",3,U46="▽",1,U46="●",9)</f>
        <v>0</v>
      </c>
      <c r="V65" s="53"/>
      <c r="W65" s="53"/>
      <c r="X65" s="54"/>
      <c r="Y65" s="52" cm="1">
        <f t="array" ref="Y65">_xlfn.IFS(Y46="",0,Y46="○",3,Y46="▽",1,Y46="●",9)</f>
        <v>0</v>
      </c>
      <c r="Z65" s="53"/>
      <c r="AA65" s="53"/>
      <c r="AB65" s="54"/>
      <c r="AC65" s="52" cm="1">
        <f t="array" ref="AC65">_xlfn.IFS(AC46="",0,AC46="○",3,AC46="▽",1,AC46="●",9)</f>
        <v>0</v>
      </c>
      <c r="AD65" s="53"/>
      <c r="AE65" s="53"/>
      <c r="AF65" s="54"/>
      <c r="AG65" s="52" cm="1">
        <f t="array" ref="AG65">_xlfn.IFS(AG46="",0,AG46="○",3,AG46="▽",1,AG46="●",9)</f>
        <v>9</v>
      </c>
      <c r="AH65" s="53"/>
      <c r="AI65" s="53"/>
      <c r="AJ65" s="54"/>
      <c r="AK65" s="52" cm="1">
        <f t="array" ref="AK65">_xlfn.IFS(AK46="",0,AK46="○",3,AK46="▽",1,AK46="●",9)</f>
        <v>0</v>
      </c>
      <c r="AL65" s="53"/>
      <c r="AM65" s="53"/>
      <c r="AN65" s="54"/>
      <c r="AO65" s="52" cm="1">
        <f t="array" ref="AO65">_xlfn.IFS(AO46="",0,AO46="○",3,AO46="▽",1,AO46="●",9)</f>
        <v>0</v>
      </c>
      <c r="AP65" s="53"/>
      <c r="AQ65" s="53"/>
      <c r="AR65" s="54"/>
      <c r="AS65" s="52" cm="1">
        <f t="array" ref="AS65">_xlfn.IFS(AS46="",0,AS46="○",3,AS46="▽",1,AS46="●",9)</f>
        <v>0</v>
      </c>
      <c r="AT65" s="53"/>
      <c r="AU65" s="53"/>
      <c r="AV65" s="54"/>
      <c r="AW65" s="52" cm="1">
        <f t="array" ref="AW65">_xlfn.IFS(AW46="",0,AW46="○",3,AW46="▽",1,AW46="●",9)</f>
        <v>0</v>
      </c>
      <c r="AX65" s="53"/>
      <c r="AY65" s="53"/>
      <c r="AZ65" s="54"/>
    </row>
    <row r="66" spans="1:52" ht="26.25" customHeight="1" x14ac:dyDescent="0.25">
      <c r="A66" s="6"/>
      <c r="B66" s="12"/>
      <c r="H66" s="67"/>
      <c r="I66" s="52" cm="1">
        <f t="array" ref="I66">_xlfn.IFS(I47="",0,I47="○",3,I47="▽",1,I47="●",9)</f>
        <v>3</v>
      </c>
      <c r="J66" s="53"/>
      <c r="K66" s="53"/>
      <c r="L66" s="54"/>
      <c r="M66" s="52" cm="1">
        <f t="array" ref="M66">_xlfn.IFS(M47="",0,M47="○",3,M47="▽",1,M47="●",9)</f>
        <v>9</v>
      </c>
      <c r="N66" s="53"/>
      <c r="O66" s="53"/>
      <c r="P66" s="54"/>
      <c r="Q66" s="52" cm="1">
        <f t="array" ref="Q66">_xlfn.IFS(Q47="",0,Q47="○",3,Q47="▽",1,Q47="●",9)</f>
        <v>3</v>
      </c>
      <c r="R66" s="53"/>
      <c r="S66" s="53"/>
      <c r="T66" s="54"/>
      <c r="U66" s="52" cm="1">
        <f t="array" ref="U66">_xlfn.IFS(U47="",0,U47="○",3,U47="▽",1,U47="●",9)</f>
        <v>1</v>
      </c>
      <c r="V66" s="53"/>
      <c r="W66" s="53"/>
      <c r="X66" s="54"/>
      <c r="Y66" s="52" cm="1">
        <f t="array" ref="Y66">_xlfn.IFS(Y47="",0,Y47="○",3,Y47="▽",1,Y47="●",9)</f>
        <v>9</v>
      </c>
      <c r="Z66" s="53"/>
      <c r="AA66" s="53"/>
      <c r="AB66" s="54"/>
      <c r="AC66" s="52" cm="1">
        <f t="array" ref="AC66">_xlfn.IFS(AC47="",0,AC47="○",3,AC47="▽",1,AC47="●",9)</f>
        <v>1</v>
      </c>
      <c r="AD66" s="53"/>
      <c r="AE66" s="53"/>
      <c r="AF66" s="54"/>
      <c r="AG66" s="52" cm="1">
        <f t="array" ref="AG66">_xlfn.IFS(AG47="",0,AG47="○",3,AG47="▽",1,AG47="●",9)</f>
        <v>9</v>
      </c>
      <c r="AH66" s="53"/>
      <c r="AI66" s="53"/>
      <c r="AJ66" s="54"/>
      <c r="AK66" s="52" cm="1">
        <f t="array" ref="AK66">_xlfn.IFS(AK47="",0,AK47="○",3,AK47="▽",1,AK47="●",9)</f>
        <v>3</v>
      </c>
      <c r="AL66" s="53"/>
      <c r="AM66" s="53"/>
      <c r="AN66" s="54"/>
      <c r="AO66" s="52" cm="1">
        <f t="array" ref="AO66">_xlfn.IFS(AO47="",0,AO47="○",3,AO47="▽",1,AO47="●",9)</f>
        <v>0</v>
      </c>
      <c r="AP66" s="53"/>
      <c r="AQ66" s="53"/>
      <c r="AR66" s="54"/>
      <c r="AS66" s="52" cm="1">
        <f t="array" ref="AS66">_xlfn.IFS(AS47="",0,AS47="○",3,AS47="▽",1,AS47="●",9)</f>
        <v>0</v>
      </c>
      <c r="AT66" s="53"/>
      <c r="AU66" s="53"/>
      <c r="AV66" s="54"/>
      <c r="AW66" s="52" cm="1">
        <f t="array" ref="AW66">_xlfn.IFS(AW47="",0,AW47="○",3,AW47="▽",1,AW47="●",9)</f>
        <v>1</v>
      </c>
      <c r="AX66" s="53"/>
      <c r="AY66" s="53"/>
      <c r="AZ66" s="54"/>
    </row>
    <row r="67" spans="1:52" ht="26.25" customHeight="1" x14ac:dyDescent="0.25">
      <c r="A67" s="6"/>
      <c r="B67" s="12"/>
      <c r="H67" s="67"/>
      <c r="I67" s="52" cm="1">
        <f t="array" ref="I67">_xlfn.IFS(I48="",0,I48="○",3,I48="▽",1,I48="●",9)</f>
        <v>3</v>
      </c>
      <c r="J67" s="53"/>
      <c r="K67" s="53"/>
      <c r="L67" s="54"/>
      <c r="M67" s="52" cm="1">
        <f t="array" ref="M67">_xlfn.IFS(M48="",0,M48="○",3,M48="▽",1,M48="●",9)</f>
        <v>0</v>
      </c>
      <c r="N67" s="53"/>
      <c r="O67" s="53"/>
      <c r="P67" s="54"/>
      <c r="Q67" s="52" cm="1">
        <f t="array" ref="Q67">_xlfn.IFS(Q48="",0,Q48="○",3,Q48="▽",1,Q48="●",9)</f>
        <v>0</v>
      </c>
      <c r="R67" s="53"/>
      <c r="S67" s="53"/>
      <c r="T67" s="54"/>
      <c r="U67" s="52" cm="1">
        <f t="array" ref="U67">_xlfn.IFS(U48="",0,U48="○",3,U48="▽",1,U48="●",9)</f>
        <v>0</v>
      </c>
      <c r="V67" s="53"/>
      <c r="W67" s="53"/>
      <c r="X67" s="54"/>
      <c r="Y67" s="52" cm="1">
        <f t="array" ref="Y67">_xlfn.IFS(Y48="",0,Y48="○",3,Y48="▽",1,Y48="●",9)</f>
        <v>3</v>
      </c>
      <c r="Z67" s="53"/>
      <c r="AA67" s="53"/>
      <c r="AB67" s="54"/>
      <c r="AC67" s="52" cm="1">
        <f t="array" ref="AC67">_xlfn.IFS(AC48="",0,AC48="○",3,AC48="▽",1,AC48="●",9)</f>
        <v>0</v>
      </c>
      <c r="AD67" s="53"/>
      <c r="AE67" s="53"/>
      <c r="AF67" s="54"/>
      <c r="AG67" s="52" cm="1">
        <f t="array" ref="AG67">_xlfn.IFS(AG48="",0,AG48="○",3,AG48="▽",1,AG48="●",9)</f>
        <v>0</v>
      </c>
      <c r="AH67" s="53"/>
      <c r="AI67" s="53"/>
      <c r="AJ67" s="54"/>
      <c r="AK67" s="52" cm="1">
        <f t="array" ref="AK67">_xlfn.IFS(AK48="",0,AK48="○",3,AK48="▽",1,AK48="●",9)</f>
        <v>0</v>
      </c>
      <c r="AL67" s="53"/>
      <c r="AM67" s="53"/>
      <c r="AN67" s="54"/>
      <c r="AO67" s="52" cm="1">
        <f t="array" ref="AO67">_xlfn.IFS(AO48="",0,AO48="○",3,AO48="▽",1,AO48="●",9)</f>
        <v>0</v>
      </c>
      <c r="AP67" s="53"/>
      <c r="AQ67" s="53"/>
      <c r="AR67" s="54"/>
      <c r="AS67" s="52" cm="1">
        <f t="array" ref="AS67">_xlfn.IFS(AS48="",0,AS48="○",3,AS48="▽",1,AS48="●",9)</f>
        <v>0</v>
      </c>
      <c r="AT67" s="53"/>
      <c r="AU67" s="53"/>
      <c r="AV67" s="54"/>
      <c r="AW67" s="52" cm="1">
        <f t="array" ref="AW67">_xlfn.IFS(AW48="",0,AW48="○",3,AW48="▽",1,AW48="●",9)</f>
        <v>9</v>
      </c>
      <c r="AX67" s="53"/>
      <c r="AY67" s="53"/>
      <c r="AZ67" s="54"/>
    </row>
    <row r="68" spans="1:52" ht="26.25" customHeight="1" x14ac:dyDescent="0.25">
      <c r="H68" s="67"/>
      <c r="I68" s="52" cm="1">
        <f t="array" ref="I68">_xlfn.IFS(I49="",0,I49="○",3,I49="▽",1,I49="●",9)</f>
        <v>0</v>
      </c>
      <c r="J68" s="53"/>
      <c r="K68" s="53"/>
      <c r="L68" s="54"/>
      <c r="M68" s="52" cm="1">
        <f t="array" ref="M68">_xlfn.IFS(M49="",0,M49="○",3,M49="▽",1,M49="●",9)</f>
        <v>0</v>
      </c>
      <c r="N68" s="53"/>
      <c r="O68" s="53"/>
      <c r="P68" s="54"/>
      <c r="Q68" s="52" cm="1">
        <f t="array" ref="Q68">_xlfn.IFS(Q49="",0,Q49="○",3,Q49="▽",1,Q49="●",9)</f>
        <v>0</v>
      </c>
      <c r="R68" s="53"/>
      <c r="S68" s="53"/>
      <c r="T68" s="54"/>
      <c r="U68" s="52" cm="1">
        <f t="array" ref="U68">_xlfn.IFS(U49="",0,U49="○",3,U49="▽",1,U49="●",9)</f>
        <v>0</v>
      </c>
      <c r="V68" s="53"/>
      <c r="W68" s="53"/>
      <c r="X68" s="54"/>
      <c r="Y68" s="52" cm="1">
        <f t="array" ref="Y68">_xlfn.IFS(Y49="",0,Y49="○",3,Y49="▽",1,Y49="●",9)</f>
        <v>0</v>
      </c>
      <c r="Z68" s="53"/>
      <c r="AA68" s="53"/>
      <c r="AB68" s="54"/>
      <c r="AC68" s="52" cm="1">
        <f t="array" ref="AC68">_xlfn.IFS(AC49="",0,AC49="○",3,AC49="▽",1,AC49="●",9)</f>
        <v>0</v>
      </c>
      <c r="AD68" s="53"/>
      <c r="AE68" s="53"/>
      <c r="AF68" s="54"/>
      <c r="AG68" s="52" cm="1">
        <f t="array" ref="AG68">_xlfn.IFS(AG49="",0,AG49="○",3,AG49="▽",1,AG49="●",9)</f>
        <v>0</v>
      </c>
      <c r="AH68" s="53"/>
      <c r="AI68" s="53"/>
      <c r="AJ68" s="54"/>
      <c r="AK68" s="52" cm="1">
        <f t="array" ref="AK68">_xlfn.IFS(AK49="",0,AK49="○",3,AK49="▽",1,AK49="●",9)</f>
        <v>0</v>
      </c>
      <c r="AL68" s="53"/>
      <c r="AM68" s="53"/>
      <c r="AN68" s="54"/>
      <c r="AO68" s="52" cm="1">
        <f t="array" ref="AO68">_xlfn.IFS(AO49="",0,AO49="○",3,AO49="▽",1,AO49="●",9)</f>
        <v>0</v>
      </c>
      <c r="AP68" s="53"/>
      <c r="AQ68" s="53"/>
      <c r="AR68" s="54"/>
      <c r="AS68" s="52" cm="1">
        <f t="array" ref="AS68">_xlfn.IFS(AS49="",0,AS49="○",3,AS49="▽",1,AS49="●",9)</f>
        <v>9</v>
      </c>
      <c r="AT68" s="53"/>
      <c r="AU68" s="53"/>
      <c r="AV68" s="54"/>
      <c r="AW68" s="52" cm="1">
        <f t="array" ref="AW68">_xlfn.IFS(AW49="",0,AW49="○",3,AW49="▽",1,AW49="●",9)</f>
        <v>9</v>
      </c>
      <c r="AX68" s="53"/>
      <c r="AY68" s="53"/>
      <c r="AZ68" s="54"/>
    </row>
    <row r="69" spans="1:52" ht="26.25" customHeight="1" x14ac:dyDescent="0.25">
      <c r="H69" s="67"/>
      <c r="I69" s="52" cm="1">
        <f t="array" ref="I69">_xlfn.IFS(I50="",0,I50="○",3,I50="▽",1,I50="●",9)</f>
        <v>1</v>
      </c>
      <c r="J69" s="53"/>
      <c r="K69" s="53"/>
      <c r="L69" s="54"/>
      <c r="M69" s="52" cm="1">
        <f t="array" ref="M69">_xlfn.IFS(M50="",0,M50="○",3,M50="▽",1,M50="●",9)</f>
        <v>0</v>
      </c>
      <c r="N69" s="53"/>
      <c r="O69" s="53"/>
      <c r="P69" s="54"/>
      <c r="Q69" s="52" cm="1">
        <f t="array" ref="Q69">_xlfn.IFS(Q50="",0,Q50="○",3,Q50="▽",1,Q50="●",9)</f>
        <v>0</v>
      </c>
      <c r="R69" s="53"/>
      <c r="S69" s="53"/>
      <c r="T69" s="54"/>
      <c r="U69" s="52" cm="1">
        <f t="array" ref="U69">_xlfn.IFS(U50="",0,U50="○",3,U50="▽",1,U50="●",9)</f>
        <v>0</v>
      </c>
      <c r="V69" s="53"/>
      <c r="W69" s="53"/>
      <c r="X69" s="54"/>
      <c r="Y69" s="52" cm="1">
        <f t="array" ref="Y69">_xlfn.IFS(Y50="",0,Y50="○",3,Y50="▽",1,Y50="●",9)</f>
        <v>9</v>
      </c>
      <c r="Z69" s="53"/>
      <c r="AA69" s="53"/>
      <c r="AB69" s="54"/>
      <c r="AC69" s="52" cm="1">
        <f t="array" ref="AC69">_xlfn.IFS(AC50="",0,AC50="○",3,AC50="▽",1,AC50="●",9)</f>
        <v>0</v>
      </c>
      <c r="AD69" s="53"/>
      <c r="AE69" s="53"/>
      <c r="AF69" s="54"/>
      <c r="AG69" s="52" cm="1">
        <f t="array" ref="AG69">_xlfn.IFS(AG50="",0,AG50="○",3,AG50="▽",1,AG50="●",9)</f>
        <v>9</v>
      </c>
      <c r="AH69" s="53"/>
      <c r="AI69" s="53"/>
      <c r="AJ69" s="54"/>
      <c r="AK69" s="52" cm="1">
        <f t="array" ref="AK69">_xlfn.IFS(AK50="",0,AK50="○",3,AK50="▽",1,AK50="●",9)</f>
        <v>0</v>
      </c>
      <c r="AL69" s="53"/>
      <c r="AM69" s="53"/>
      <c r="AN69" s="54"/>
      <c r="AO69" s="52" cm="1">
        <f t="array" ref="AO69">_xlfn.IFS(AO50="",0,AO50="○",3,AO50="▽",1,AO50="●",9)</f>
        <v>0</v>
      </c>
      <c r="AP69" s="53"/>
      <c r="AQ69" s="53"/>
      <c r="AR69" s="54"/>
      <c r="AS69" s="52" cm="1">
        <f t="array" ref="AS69">_xlfn.IFS(AS50="",0,AS50="○",3,AS50="▽",1,AS50="●",9)</f>
        <v>0</v>
      </c>
      <c r="AT69" s="53"/>
      <c r="AU69" s="53"/>
      <c r="AV69" s="54"/>
      <c r="AW69" s="52" cm="1">
        <f t="array" ref="AW69">_xlfn.IFS(AW50="",0,AW50="○",3,AW50="▽",1,AW50="●",9)</f>
        <v>0</v>
      </c>
      <c r="AX69" s="53"/>
      <c r="AY69" s="53"/>
      <c r="AZ69" s="54"/>
    </row>
    <row r="70" spans="1:52" ht="26.25" customHeight="1" x14ac:dyDescent="0.25">
      <c r="H70" s="67"/>
      <c r="I70" s="52" cm="1">
        <f t="array" ref="I70">_xlfn.IFS(I51="",0,I51="○",3,I51="▽",1,I51="●",9)</f>
        <v>1</v>
      </c>
      <c r="J70" s="53"/>
      <c r="K70" s="53"/>
      <c r="L70" s="54"/>
      <c r="M70" s="52" cm="1">
        <f t="array" ref="M70">_xlfn.IFS(M51="",0,M51="○",3,M51="▽",1,M51="●",9)</f>
        <v>0</v>
      </c>
      <c r="N70" s="53"/>
      <c r="O70" s="53"/>
      <c r="P70" s="54"/>
      <c r="Q70" s="52" cm="1">
        <f t="array" ref="Q70">_xlfn.IFS(Q51="",0,Q51="○",3,Q51="▽",1,Q51="●",9)</f>
        <v>0</v>
      </c>
      <c r="R70" s="53"/>
      <c r="S70" s="53"/>
      <c r="T70" s="54"/>
      <c r="U70" s="52" cm="1">
        <f t="array" ref="U70">_xlfn.IFS(U51="",0,U51="○",3,U51="▽",1,U51="●",9)</f>
        <v>0</v>
      </c>
      <c r="V70" s="53"/>
      <c r="W70" s="53"/>
      <c r="X70" s="54"/>
      <c r="Y70" s="52" cm="1">
        <f t="array" ref="Y70">_xlfn.IFS(Y51="",0,Y51="○",3,Y51="▽",1,Y51="●",9)</f>
        <v>9</v>
      </c>
      <c r="Z70" s="53"/>
      <c r="AA70" s="53"/>
      <c r="AB70" s="54"/>
      <c r="AC70" s="52" cm="1">
        <f t="array" ref="AC70">_xlfn.IFS(AC51="",0,AC51="○",3,AC51="▽",1,AC51="●",9)</f>
        <v>9</v>
      </c>
      <c r="AD70" s="53"/>
      <c r="AE70" s="53"/>
      <c r="AF70" s="54"/>
      <c r="AG70" s="52" cm="1">
        <f t="array" ref="AG70">_xlfn.IFS(AG51="",0,AG51="○",3,AG51="▽",1,AG51="●",9)</f>
        <v>0</v>
      </c>
      <c r="AH70" s="53"/>
      <c r="AI70" s="53"/>
      <c r="AJ70" s="54"/>
      <c r="AK70" s="52" cm="1">
        <f t="array" ref="AK70">_xlfn.IFS(AK51="",0,AK51="○",3,AK51="▽",1,AK51="●",9)</f>
        <v>9</v>
      </c>
      <c r="AL70" s="53"/>
      <c r="AM70" s="53"/>
      <c r="AN70" s="54"/>
      <c r="AO70" s="52" cm="1">
        <f t="array" ref="AO70">_xlfn.IFS(AO51="",0,AO51="○",3,AO51="▽",1,AO51="●",9)</f>
        <v>0</v>
      </c>
      <c r="AP70" s="53"/>
      <c r="AQ70" s="53"/>
      <c r="AR70" s="54"/>
      <c r="AS70" s="52" cm="1">
        <f t="array" ref="AS70">_xlfn.IFS(AS51="",0,AS51="○",3,AS51="▽",1,AS51="●",9)</f>
        <v>0</v>
      </c>
      <c r="AT70" s="53"/>
      <c r="AU70" s="53"/>
      <c r="AV70" s="54"/>
      <c r="AW70" s="52" cm="1">
        <f t="array" ref="AW70">_xlfn.IFS(AW51="",0,AW51="○",3,AW51="▽",1,AW51="●",9)</f>
        <v>0</v>
      </c>
      <c r="AX70" s="53"/>
      <c r="AY70" s="53"/>
      <c r="AZ70" s="54"/>
    </row>
    <row r="71" spans="1:52" ht="26.25" customHeight="1" x14ac:dyDescent="0.25">
      <c r="H71" s="67"/>
      <c r="I71" s="52" t="e" cm="1">
        <f t="array" ref="I71">_xlfn.IFS(#REF!="",0,#REF!="○",3,#REF!="▽",1,#REF!="●",9)</f>
        <v>#REF!</v>
      </c>
      <c r="J71" s="53"/>
      <c r="K71" s="53"/>
      <c r="L71" s="54"/>
      <c r="M71" s="52" t="e" cm="1">
        <f t="array" ref="M71">_xlfn.IFS(#REF!="",0,#REF!="○",3,#REF!="▽",1,#REF!="●",9)</f>
        <v>#REF!</v>
      </c>
      <c r="N71" s="53"/>
      <c r="O71" s="53"/>
      <c r="P71" s="54"/>
      <c r="Q71" s="52" t="e" cm="1">
        <f t="array" ref="Q71">_xlfn.IFS(#REF!="",0,#REF!="○",3,#REF!="▽",1,#REF!="●",9)</f>
        <v>#REF!</v>
      </c>
      <c r="R71" s="53"/>
      <c r="S71" s="53"/>
      <c r="T71" s="54"/>
      <c r="U71" s="52" t="e" cm="1">
        <f t="array" ref="U71">_xlfn.IFS(#REF!="",0,#REF!="○",3,#REF!="▽",1,#REF!="●",9)</f>
        <v>#REF!</v>
      </c>
      <c r="V71" s="53"/>
      <c r="W71" s="53"/>
      <c r="X71" s="54"/>
      <c r="Y71" s="52" t="e" cm="1">
        <f t="array" ref="Y71">_xlfn.IFS(#REF!="",0,#REF!="○",3,#REF!="▽",1,#REF!="●",9)</f>
        <v>#REF!</v>
      </c>
      <c r="Z71" s="53"/>
      <c r="AA71" s="53"/>
      <c r="AB71" s="54"/>
      <c r="AC71" s="52" t="e" cm="1">
        <f t="array" ref="AC71">_xlfn.IFS(#REF!="",0,#REF!="○",3,#REF!="▽",1,#REF!="●",9)</f>
        <v>#REF!</v>
      </c>
      <c r="AD71" s="53"/>
      <c r="AE71" s="53"/>
      <c r="AF71" s="54"/>
      <c r="AG71" s="52" t="e" cm="1">
        <f t="array" ref="AG71">_xlfn.IFS(#REF!="",0,#REF!="○",3,#REF!="▽",1,#REF!="●",9)</f>
        <v>#REF!</v>
      </c>
      <c r="AH71" s="53"/>
      <c r="AI71" s="53"/>
      <c r="AJ71" s="54"/>
      <c r="AK71" s="52" t="e" cm="1">
        <f t="array" ref="AK71">_xlfn.IFS(#REF!="",0,#REF!="○",3,#REF!="▽",1,#REF!="●",9)</f>
        <v>#REF!</v>
      </c>
      <c r="AL71" s="53"/>
      <c r="AM71" s="53"/>
      <c r="AN71" s="54"/>
      <c r="AO71" s="52" t="e" cm="1">
        <f t="array" ref="AO71">_xlfn.IFS(#REF!="",0,#REF!="○",3,#REF!="▽",1,#REF!="●",9)</f>
        <v>#REF!</v>
      </c>
      <c r="AP71" s="53"/>
      <c r="AQ71" s="53"/>
      <c r="AR71" s="54"/>
      <c r="AS71" s="52" t="e" cm="1">
        <f t="array" ref="AS71">_xlfn.IFS(#REF!="",0,#REF!="○",3,#REF!="▽",1,#REF!="●",9)</f>
        <v>#REF!</v>
      </c>
      <c r="AT71" s="53"/>
      <c r="AU71" s="53"/>
      <c r="AV71" s="54"/>
      <c r="AW71" s="52" t="e" cm="1">
        <f t="array" ref="AW71">_xlfn.IFS(#REF!="",0,#REF!="○",3,#REF!="▽",1,#REF!="●",9)</f>
        <v>#REF!</v>
      </c>
      <c r="AX71" s="53"/>
      <c r="AY71" s="53"/>
      <c r="AZ71" s="54"/>
    </row>
    <row r="72" spans="1:52" ht="26.25" customHeight="1" x14ac:dyDescent="0.25">
      <c r="H72" s="67"/>
      <c r="I72" s="52" t="e" cm="1">
        <f t="array" ref="I72">_xlfn.IFS(#REF!="",0,#REF!="○",3,#REF!="▽",1,#REF!="●",9)</f>
        <v>#REF!</v>
      </c>
      <c r="J72" s="53"/>
      <c r="K72" s="53"/>
      <c r="L72" s="54"/>
      <c r="M72" s="52" t="e" cm="1">
        <f t="array" ref="M72">_xlfn.IFS(#REF!="",0,#REF!="○",3,#REF!="▽",1,#REF!="●",9)</f>
        <v>#REF!</v>
      </c>
      <c r="N72" s="53"/>
      <c r="O72" s="53"/>
      <c r="P72" s="54"/>
      <c r="Q72" s="52" t="e" cm="1">
        <f t="array" ref="Q72">_xlfn.IFS(#REF!="",0,#REF!="○",3,#REF!="▽",1,#REF!="●",9)</f>
        <v>#REF!</v>
      </c>
      <c r="R72" s="53"/>
      <c r="S72" s="53"/>
      <c r="T72" s="54"/>
      <c r="U72" s="52" t="e" cm="1">
        <f t="array" ref="U72">_xlfn.IFS(#REF!="",0,#REF!="○",3,#REF!="▽",1,#REF!="●",9)</f>
        <v>#REF!</v>
      </c>
      <c r="V72" s="53"/>
      <c r="W72" s="53"/>
      <c r="X72" s="54"/>
      <c r="Y72" s="52" t="e" cm="1">
        <f t="array" ref="Y72">_xlfn.IFS(#REF!="",0,#REF!="○",3,#REF!="▽",1,#REF!="●",9)</f>
        <v>#REF!</v>
      </c>
      <c r="Z72" s="53"/>
      <c r="AA72" s="53"/>
      <c r="AB72" s="54"/>
      <c r="AC72" s="52" t="e" cm="1">
        <f t="array" ref="AC72">_xlfn.IFS(#REF!="",0,#REF!="○",3,#REF!="▽",1,#REF!="●",9)</f>
        <v>#REF!</v>
      </c>
      <c r="AD72" s="53"/>
      <c r="AE72" s="53"/>
      <c r="AF72" s="54"/>
      <c r="AG72" s="52" t="e" cm="1">
        <f t="array" ref="AG72">_xlfn.IFS(#REF!="",0,#REF!="○",3,#REF!="▽",1,#REF!="●",9)</f>
        <v>#REF!</v>
      </c>
      <c r="AH72" s="53"/>
      <c r="AI72" s="53"/>
      <c r="AJ72" s="54"/>
      <c r="AK72" s="52" t="e" cm="1">
        <f t="array" ref="AK72">_xlfn.IFS(#REF!="",0,#REF!="○",3,#REF!="▽",1,#REF!="●",9)</f>
        <v>#REF!</v>
      </c>
      <c r="AL72" s="53"/>
      <c r="AM72" s="53"/>
      <c r="AN72" s="54"/>
      <c r="AO72" s="52" t="e" cm="1">
        <f t="array" ref="AO72">_xlfn.IFS(#REF!="",0,#REF!="○",3,#REF!="▽",1,#REF!="●",9)</f>
        <v>#REF!</v>
      </c>
      <c r="AP72" s="53"/>
      <c r="AQ72" s="53"/>
      <c r="AR72" s="54"/>
      <c r="AS72" s="52" t="e" cm="1">
        <f t="array" ref="AS72">_xlfn.IFS(#REF!="",0,#REF!="○",3,#REF!="▽",1,#REF!="●",9)</f>
        <v>#REF!</v>
      </c>
      <c r="AT72" s="53"/>
      <c r="AU72" s="53"/>
      <c r="AV72" s="54"/>
      <c r="AW72" s="52" t="e" cm="1">
        <f t="array" ref="AW72">_xlfn.IFS(#REF!="",0,#REF!="○",3,#REF!="▽",1,#REF!="●",9)</f>
        <v>#REF!</v>
      </c>
      <c r="AX72" s="53"/>
      <c r="AY72" s="53"/>
      <c r="AZ72" s="54"/>
    </row>
    <row r="73" spans="1:52" ht="26.25" customHeight="1" x14ac:dyDescent="0.25">
      <c r="H73" s="67"/>
      <c r="I73" s="52" t="e" cm="1">
        <f t="array" ref="I73">_xlfn.IFS(#REF!="",0,#REF!="○",3,#REF!="▽",1,#REF!="●",9)</f>
        <v>#REF!</v>
      </c>
      <c r="J73" s="53"/>
      <c r="K73" s="53"/>
      <c r="L73" s="54"/>
      <c r="M73" s="52" t="e" cm="1">
        <f t="array" ref="M73">_xlfn.IFS(#REF!="",0,#REF!="○",3,#REF!="▽",1,#REF!="●",9)</f>
        <v>#REF!</v>
      </c>
      <c r="N73" s="53"/>
      <c r="O73" s="53"/>
      <c r="P73" s="54"/>
      <c r="Q73" s="52" t="e" cm="1">
        <f t="array" ref="Q73">_xlfn.IFS(#REF!="",0,#REF!="○",3,#REF!="▽",1,#REF!="●",9)</f>
        <v>#REF!</v>
      </c>
      <c r="R73" s="53"/>
      <c r="S73" s="53"/>
      <c r="T73" s="54"/>
      <c r="U73" s="52" t="e" cm="1">
        <f t="array" ref="U73">_xlfn.IFS(#REF!="",0,#REF!="○",3,#REF!="▽",1,#REF!="●",9)</f>
        <v>#REF!</v>
      </c>
      <c r="V73" s="53"/>
      <c r="W73" s="53"/>
      <c r="X73" s="54"/>
      <c r="Y73" s="52" t="e" cm="1">
        <f t="array" ref="Y73">_xlfn.IFS(#REF!="",0,#REF!="○",3,#REF!="▽",1,#REF!="●",9)</f>
        <v>#REF!</v>
      </c>
      <c r="Z73" s="53"/>
      <c r="AA73" s="53"/>
      <c r="AB73" s="54"/>
      <c r="AC73" s="52" t="e" cm="1">
        <f t="array" ref="AC73">_xlfn.IFS(#REF!="",0,#REF!="○",3,#REF!="▽",1,#REF!="●",9)</f>
        <v>#REF!</v>
      </c>
      <c r="AD73" s="53"/>
      <c r="AE73" s="53"/>
      <c r="AF73" s="54"/>
      <c r="AG73" s="52" t="e" cm="1">
        <f t="array" ref="AG73">_xlfn.IFS(#REF!="",0,#REF!="○",3,#REF!="▽",1,#REF!="●",9)</f>
        <v>#REF!</v>
      </c>
      <c r="AH73" s="53"/>
      <c r="AI73" s="53"/>
      <c r="AJ73" s="54"/>
      <c r="AK73" s="52" t="e" cm="1">
        <f t="array" ref="AK73">_xlfn.IFS(#REF!="",0,#REF!="○",3,#REF!="▽",1,#REF!="●",9)</f>
        <v>#REF!</v>
      </c>
      <c r="AL73" s="53"/>
      <c r="AM73" s="53"/>
      <c r="AN73" s="54"/>
      <c r="AO73" s="52" t="e" cm="1">
        <f t="array" ref="AO73">_xlfn.IFS(#REF!="",0,#REF!="○",3,#REF!="▽",1,#REF!="●",9)</f>
        <v>#REF!</v>
      </c>
      <c r="AP73" s="53"/>
      <c r="AQ73" s="53"/>
      <c r="AR73" s="54"/>
      <c r="AS73" s="52" t="e" cm="1">
        <f t="array" ref="AS73">_xlfn.IFS(#REF!="",0,#REF!="○",3,#REF!="▽",1,#REF!="●",9)</f>
        <v>#REF!</v>
      </c>
      <c r="AT73" s="53"/>
      <c r="AU73" s="53"/>
      <c r="AV73" s="54"/>
      <c r="AW73" s="52" t="e" cm="1">
        <f t="array" ref="AW73">_xlfn.IFS(#REF!="",0,#REF!="○",3,#REF!="▽",1,#REF!="●",9)</f>
        <v>#REF!</v>
      </c>
      <c r="AX73" s="53"/>
      <c r="AY73" s="53"/>
      <c r="AZ73" s="54"/>
    </row>
    <row r="74" spans="1:52" ht="26.25" customHeight="1" x14ac:dyDescent="0.25">
      <c r="H74" s="67"/>
      <c r="I74" s="52" t="e" cm="1">
        <f t="array" ref="I74">_xlfn.IFS(#REF!="",0,#REF!="○",3,#REF!="▽",1,#REF!="●",9)</f>
        <v>#REF!</v>
      </c>
      <c r="J74" s="53"/>
      <c r="K74" s="53"/>
      <c r="L74" s="54"/>
      <c r="M74" s="52" t="e" cm="1">
        <f t="array" ref="M74">_xlfn.IFS(#REF!="",0,#REF!="○",3,#REF!="▽",1,#REF!="●",9)</f>
        <v>#REF!</v>
      </c>
      <c r="N74" s="53"/>
      <c r="O74" s="53"/>
      <c r="P74" s="54"/>
      <c r="Q74" s="52" t="e" cm="1">
        <f t="array" ref="Q74">_xlfn.IFS(#REF!="",0,#REF!="○",3,#REF!="▽",1,#REF!="●",9)</f>
        <v>#REF!</v>
      </c>
      <c r="R74" s="53"/>
      <c r="S74" s="53"/>
      <c r="T74" s="54"/>
      <c r="U74" s="52" t="e" cm="1">
        <f t="array" ref="U74">_xlfn.IFS(#REF!="",0,#REF!="○",3,#REF!="▽",1,#REF!="●",9)</f>
        <v>#REF!</v>
      </c>
      <c r="V74" s="53"/>
      <c r="W74" s="53"/>
      <c r="X74" s="54"/>
      <c r="Y74" s="52" t="e" cm="1">
        <f t="array" ref="Y74">_xlfn.IFS(#REF!="",0,#REF!="○",3,#REF!="▽",1,#REF!="●",9)</f>
        <v>#REF!</v>
      </c>
      <c r="Z74" s="53"/>
      <c r="AA74" s="53"/>
      <c r="AB74" s="54"/>
      <c r="AC74" s="52" t="e" cm="1">
        <f t="array" ref="AC74">_xlfn.IFS(#REF!="",0,#REF!="○",3,#REF!="▽",1,#REF!="●",9)</f>
        <v>#REF!</v>
      </c>
      <c r="AD74" s="53"/>
      <c r="AE74" s="53"/>
      <c r="AF74" s="54"/>
      <c r="AG74" s="52" t="e" cm="1">
        <f t="array" ref="AG74">_xlfn.IFS(#REF!="",0,#REF!="○",3,#REF!="▽",1,#REF!="●",9)</f>
        <v>#REF!</v>
      </c>
      <c r="AH74" s="53"/>
      <c r="AI74" s="53"/>
      <c r="AJ74" s="54"/>
      <c r="AK74" s="52" t="e" cm="1">
        <f t="array" ref="AK74">_xlfn.IFS(#REF!="",0,#REF!="○",3,#REF!="▽",1,#REF!="●",9)</f>
        <v>#REF!</v>
      </c>
      <c r="AL74" s="53"/>
      <c r="AM74" s="53"/>
      <c r="AN74" s="54"/>
      <c r="AO74" s="52" t="e" cm="1">
        <f t="array" ref="AO74">_xlfn.IFS(#REF!="",0,#REF!="○",3,#REF!="▽",1,#REF!="●",9)</f>
        <v>#REF!</v>
      </c>
      <c r="AP74" s="53"/>
      <c r="AQ74" s="53"/>
      <c r="AR74" s="54"/>
      <c r="AS74" s="52" t="e" cm="1">
        <f t="array" ref="AS74">_xlfn.IFS(#REF!="",0,#REF!="○",3,#REF!="▽",1,#REF!="●",9)</f>
        <v>#REF!</v>
      </c>
      <c r="AT74" s="53"/>
      <c r="AU74" s="53"/>
      <c r="AV74" s="54"/>
      <c r="AW74" s="52" t="e" cm="1">
        <f t="array" ref="AW74">_xlfn.IFS(#REF!="",0,#REF!="○",3,#REF!="▽",1,#REF!="●",9)</f>
        <v>#REF!</v>
      </c>
      <c r="AX74" s="53"/>
      <c r="AY74" s="53"/>
      <c r="AZ74" s="54"/>
    </row>
    <row r="75" spans="1:52" ht="26.25" customHeight="1" x14ac:dyDescent="0.25">
      <c r="H75" s="67"/>
      <c r="I75" s="52" t="e" cm="1">
        <f t="array" ref="I75">_xlfn.IFS(#REF!="",0,#REF!="○",3,#REF!="▽",1,#REF!="●",9)</f>
        <v>#REF!</v>
      </c>
      <c r="J75" s="53"/>
      <c r="K75" s="53"/>
      <c r="L75" s="54"/>
      <c r="M75" s="52" t="e" cm="1">
        <f t="array" ref="M75">_xlfn.IFS(#REF!="",0,#REF!="○",3,#REF!="▽",1,#REF!="●",9)</f>
        <v>#REF!</v>
      </c>
      <c r="N75" s="53"/>
      <c r="O75" s="53"/>
      <c r="P75" s="54"/>
      <c r="Q75" s="52" t="e" cm="1">
        <f t="array" ref="Q75">_xlfn.IFS(#REF!="",0,#REF!="○",3,#REF!="▽",1,#REF!="●",9)</f>
        <v>#REF!</v>
      </c>
      <c r="R75" s="53"/>
      <c r="S75" s="53"/>
      <c r="T75" s="54"/>
      <c r="U75" s="52" t="e" cm="1">
        <f t="array" ref="U75">_xlfn.IFS(#REF!="",0,#REF!="○",3,#REF!="▽",1,#REF!="●",9)</f>
        <v>#REF!</v>
      </c>
      <c r="V75" s="53"/>
      <c r="W75" s="53"/>
      <c r="X75" s="54"/>
      <c r="Y75" s="52" t="e" cm="1">
        <f t="array" ref="Y75">_xlfn.IFS(#REF!="",0,#REF!="○",3,#REF!="▽",1,#REF!="●",9)</f>
        <v>#REF!</v>
      </c>
      <c r="Z75" s="53"/>
      <c r="AA75" s="53"/>
      <c r="AB75" s="54"/>
      <c r="AC75" s="52" t="e" cm="1">
        <f t="array" ref="AC75">_xlfn.IFS(#REF!="",0,#REF!="○",3,#REF!="▽",1,#REF!="●",9)</f>
        <v>#REF!</v>
      </c>
      <c r="AD75" s="53"/>
      <c r="AE75" s="53"/>
      <c r="AF75" s="54"/>
      <c r="AG75" s="52" t="e" cm="1">
        <f t="array" ref="AG75">_xlfn.IFS(#REF!="",0,#REF!="○",3,#REF!="▽",1,#REF!="●",9)</f>
        <v>#REF!</v>
      </c>
      <c r="AH75" s="53"/>
      <c r="AI75" s="53"/>
      <c r="AJ75" s="54"/>
      <c r="AK75" s="52" t="e" cm="1">
        <f t="array" ref="AK75">_xlfn.IFS(#REF!="",0,#REF!="○",3,#REF!="▽",1,#REF!="●",9)</f>
        <v>#REF!</v>
      </c>
      <c r="AL75" s="53"/>
      <c r="AM75" s="53"/>
      <c r="AN75" s="54"/>
      <c r="AO75" s="52" t="e" cm="1">
        <f t="array" ref="AO75">_xlfn.IFS(#REF!="",0,#REF!="○",3,#REF!="▽",1,#REF!="●",9)</f>
        <v>#REF!</v>
      </c>
      <c r="AP75" s="53"/>
      <c r="AQ75" s="53"/>
      <c r="AR75" s="54"/>
      <c r="AS75" s="52" t="e" cm="1">
        <f t="array" ref="AS75">_xlfn.IFS(#REF!="",0,#REF!="○",3,#REF!="▽",1,#REF!="●",9)</f>
        <v>#REF!</v>
      </c>
      <c r="AT75" s="53"/>
      <c r="AU75" s="53"/>
      <c r="AV75" s="54"/>
      <c r="AW75" s="52" t="e" cm="1">
        <f t="array" ref="AW75">_xlfn.IFS(#REF!="",0,#REF!="○",3,#REF!="▽",1,#REF!="●",9)</f>
        <v>#REF!</v>
      </c>
      <c r="AX75" s="53"/>
      <c r="AY75" s="53"/>
      <c r="AZ75" s="54"/>
    </row>
    <row r="76" spans="1:52" ht="26.25" customHeight="1" x14ac:dyDescent="0.25">
      <c r="H76" s="67"/>
      <c r="I76" s="52" t="e" cm="1">
        <f t="array" ref="I76">_xlfn.IFS(#REF!="",0,#REF!="○",3,#REF!="▽",1,#REF!="●",9)</f>
        <v>#REF!</v>
      </c>
      <c r="J76" s="53"/>
      <c r="K76" s="53"/>
      <c r="L76" s="54"/>
      <c r="M76" s="52" t="e" cm="1">
        <f t="array" ref="M76">_xlfn.IFS(#REF!="",0,#REF!="○",3,#REF!="▽",1,#REF!="●",9)</f>
        <v>#REF!</v>
      </c>
      <c r="N76" s="53"/>
      <c r="O76" s="53"/>
      <c r="P76" s="54"/>
      <c r="Q76" s="52" t="e" cm="1">
        <f t="array" ref="Q76">_xlfn.IFS(#REF!="",0,#REF!="○",3,#REF!="▽",1,#REF!="●",9)</f>
        <v>#REF!</v>
      </c>
      <c r="R76" s="53"/>
      <c r="S76" s="53"/>
      <c r="T76" s="54"/>
      <c r="U76" s="52" t="e" cm="1">
        <f t="array" ref="U76">_xlfn.IFS(#REF!="",0,#REF!="○",3,#REF!="▽",1,#REF!="●",9)</f>
        <v>#REF!</v>
      </c>
      <c r="V76" s="53"/>
      <c r="W76" s="53"/>
      <c r="X76" s="54"/>
      <c r="Y76" s="52" t="e" cm="1">
        <f t="array" ref="Y76">_xlfn.IFS(#REF!="",0,#REF!="○",3,#REF!="▽",1,#REF!="●",9)</f>
        <v>#REF!</v>
      </c>
      <c r="Z76" s="53"/>
      <c r="AA76" s="53"/>
      <c r="AB76" s="54"/>
      <c r="AC76" s="52" t="e" cm="1">
        <f t="array" ref="AC76">_xlfn.IFS(#REF!="",0,#REF!="○",3,#REF!="▽",1,#REF!="●",9)</f>
        <v>#REF!</v>
      </c>
      <c r="AD76" s="53"/>
      <c r="AE76" s="53"/>
      <c r="AF76" s="54"/>
      <c r="AG76" s="52" t="e" cm="1">
        <f t="array" ref="AG76">_xlfn.IFS(#REF!="",0,#REF!="○",3,#REF!="▽",1,#REF!="●",9)</f>
        <v>#REF!</v>
      </c>
      <c r="AH76" s="53"/>
      <c r="AI76" s="53"/>
      <c r="AJ76" s="54"/>
      <c r="AK76" s="52" t="e" cm="1">
        <f t="array" ref="AK76">_xlfn.IFS(#REF!="",0,#REF!="○",3,#REF!="▽",1,#REF!="●",9)</f>
        <v>#REF!</v>
      </c>
      <c r="AL76" s="53"/>
      <c r="AM76" s="53"/>
      <c r="AN76" s="54"/>
      <c r="AO76" s="52" t="e" cm="1">
        <f t="array" ref="AO76">_xlfn.IFS(#REF!="",0,#REF!="○",3,#REF!="▽",1,#REF!="●",9)</f>
        <v>#REF!</v>
      </c>
      <c r="AP76" s="53"/>
      <c r="AQ76" s="53"/>
      <c r="AR76" s="54"/>
      <c r="AS76" s="52" t="e" cm="1">
        <f t="array" ref="AS76">_xlfn.IFS(#REF!="",0,#REF!="○",3,#REF!="▽",1,#REF!="●",9)</f>
        <v>#REF!</v>
      </c>
      <c r="AT76" s="53"/>
      <c r="AU76" s="53"/>
      <c r="AV76" s="54"/>
      <c r="AW76" s="52" t="e" cm="1">
        <f t="array" ref="AW76">_xlfn.IFS(#REF!="",0,#REF!="○",3,#REF!="▽",1,#REF!="●",9)</f>
        <v>#REF!</v>
      </c>
      <c r="AX76" s="53"/>
      <c r="AY76" s="53"/>
      <c r="AZ76" s="54"/>
    </row>
    <row r="77" spans="1:52" ht="26.25" customHeight="1" x14ac:dyDescent="0.25">
      <c r="H77" s="67"/>
      <c r="I77" s="52" t="e" cm="1">
        <f t="array" ref="I77">_xlfn.IFS(#REF!="",0,#REF!="○",3,#REF!="▽",1,#REF!="●",9)</f>
        <v>#REF!</v>
      </c>
      <c r="J77" s="53"/>
      <c r="K77" s="53"/>
      <c r="L77" s="54"/>
      <c r="M77" s="52" t="e" cm="1">
        <f t="array" ref="M77">_xlfn.IFS(#REF!="",0,#REF!="○",3,#REF!="▽",1,#REF!="●",9)</f>
        <v>#REF!</v>
      </c>
      <c r="N77" s="53"/>
      <c r="O77" s="53"/>
      <c r="P77" s="54"/>
      <c r="Q77" s="52" t="e" cm="1">
        <f t="array" ref="Q77">_xlfn.IFS(#REF!="",0,#REF!="○",3,#REF!="▽",1,#REF!="●",9)</f>
        <v>#REF!</v>
      </c>
      <c r="R77" s="53"/>
      <c r="S77" s="53"/>
      <c r="T77" s="54"/>
      <c r="U77" s="52" t="e" cm="1">
        <f t="array" ref="U77">_xlfn.IFS(#REF!="",0,#REF!="○",3,#REF!="▽",1,#REF!="●",9)</f>
        <v>#REF!</v>
      </c>
      <c r="V77" s="53"/>
      <c r="W77" s="53"/>
      <c r="X77" s="54"/>
      <c r="Y77" s="52" t="e" cm="1">
        <f t="array" ref="Y77">_xlfn.IFS(#REF!="",0,#REF!="○",3,#REF!="▽",1,#REF!="●",9)</f>
        <v>#REF!</v>
      </c>
      <c r="Z77" s="53"/>
      <c r="AA77" s="53"/>
      <c r="AB77" s="54"/>
      <c r="AC77" s="52" t="e" cm="1">
        <f t="array" ref="AC77">_xlfn.IFS(#REF!="",0,#REF!="○",3,#REF!="▽",1,#REF!="●",9)</f>
        <v>#REF!</v>
      </c>
      <c r="AD77" s="53"/>
      <c r="AE77" s="53"/>
      <c r="AF77" s="54"/>
      <c r="AG77" s="52" t="e" cm="1">
        <f t="array" ref="AG77">_xlfn.IFS(#REF!="",0,#REF!="○",3,#REF!="▽",1,#REF!="●",9)</f>
        <v>#REF!</v>
      </c>
      <c r="AH77" s="53"/>
      <c r="AI77" s="53"/>
      <c r="AJ77" s="54"/>
      <c r="AK77" s="52" t="e" cm="1">
        <f t="array" ref="AK77">_xlfn.IFS(#REF!="",0,#REF!="○",3,#REF!="▽",1,#REF!="●",9)</f>
        <v>#REF!</v>
      </c>
      <c r="AL77" s="53"/>
      <c r="AM77" s="53"/>
      <c r="AN77" s="54"/>
      <c r="AO77" s="52" t="e" cm="1">
        <f t="array" ref="AO77">_xlfn.IFS(#REF!="",0,#REF!="○",3,#REF!="▽",1,#REF!="●",9)</f>
        <v>#REF!</v>
      </c>
      <c r="AP77" s="53"/>
      <c r="AQ77" s="53"/>
      <c r="AR77" s="54"/>
      <c r="AS77" s="52" t="e" cm="1">
        <f t="array" ref="AS77">_xlfn.IFS(#REF!="",0,#REF!="○",3,#REF!="▽",1,#REF!="●",9)</f>
        <v>#REF!</v>
      </c>
      <c r="AT77" s="53"/>
      <c r="AU77" s="53"/>
      <c r="AV77" s="54"/>
      <c r="AW77" s="52" t="e" cm="1">
        <f t="array" ref="AW77">_xlfn.IFS(#REF!="",0,#REF!="○",3,#REF!="▽",1,#REF!="●",9)</f>
        <v>#REF!</v>
      </c>
      <c r="AX77" s="53"/>
      <c r="AY77" s="53"/>
      <c r="AZ77" s="54"/>
    </row>
    <row r="78" spans="1:52" ht="26.25" customHeight="1" x14ac:dyDescent="0.25">
      <c r="H78" s="68" t="str">
        <f>F54</f>
        <v>Hobby Cyclists</v>
      </c>
      <c r="I78" s="58">
        <f>IF(ISERR(I62*$E43),0,I62*$E43)</f>
        <v>45</v>
      </c>
      <c r="J78" s="59"/>
      <c r="K78" s="59"/>
      <c r="L78" s="60"/>
      <c r="M78" s="58">
        <f>IF(ISERR(M62*$E43),0,M62*$E43)</f>
        <v>135</v>
      </c>
      <c r="N78" s="59"/>
      <c r="O78" s="59"/>
      <c r="P78" s="60"/>
      <c r="Q78" s="58">
        <f>IF(ISERR(Q62*$E43),0,Q62*$E43)</f>
        <v>135</v>
      </c>
      <c r="R78" s="59"/>
      <c r="S78" s="59"/>
      <c r="T78" s="60"/>
      <c r="U78" s="58">
        <f>IF(ISERR(U62*$E43),0,U62*$E43)</f>
        <v>135</v>
      </c>
      <c r="V78" s="59"/>
      <c r="W78" s="59"/>
      <c r="X78" s="60"/>
      <c r="Y78" s="58">
        <f>IF(ISERR(Y62*$E43),0,Y62*$E43)</f>
        <v>135</v>
      </c>
      <c r="Z78" s="59"/>
      <c r="AA78" s="59"/>
      <c r="AB78" s="60"/>
      <c r="AC78" s="58">
        <f>IF(ISERR(AC62*$E43),0,AC62*$E43)</f>
        <v>0</v>
      </c>
      <c r="AD78" s="59"/>
      <c r="AE78" s="59"/>
      <c r="AF78" s="60"/>
      <c r="AG78" s="58">
        <f>IF(ISERR(AG62*$E43),0,AG62*$E43)</f>
        <v>135</v>
      </c>
      <c r="AH78" s="59"/>
      <c r="AI78" s="59"/>
      <c r="AJ78" s="60"/>
      <c r="AK78" s="58">
        <f>IF(ISERR(AK62*$E43),0,AK62*$E43)</f>
        <v>0</v>
      </c>
      <c r="AL78" s="59"/>
      <c r="AM78" s="59"/>
      <c r="AN78" s="60"/>
      <c r="AO78" s="58">
        <f>IF(ISERR(AO62*$E43),0,AO62*$E43)</f>
        <v>0</v>
      </c>
      <c r="AP78" s="59"/>
      <c r="AQ78" s="59"/>
      <c r="AR78" s="60"/>
      <c r="AS78" s="58">
        <f>IF(ISERR(AS62*$E43),0,AS62*$E43)</f>
        <v>15</v>
      </c>
      <c r="AT78" s="59"/>
      <c r="AU78" s="59"/>
      <c r="AV78" s="60"/>
      <c r="AW78" s="58">
        <f>IF(ISERR(AW62*$E43),0,AW62*$E43)</f>
        <v>45</v>
      </c>
      <c r="AX78" s="59"/>
      <c r="AY78" s="59"/>
      <c r="AZ78" s="60"/>
    </row>
    <row r="79" spans="1:52" ht="26.25" customHeight="1" x14ac:dyDescent="0.25">
      <c r="H79" s="68"/>
      <c r="I79" s="58">
        <f>IF(ISERR(I63*$E44),0,I63*$E44)</f>
        <v>45</v>
      </c>
      <c r="J79" s="59"/>
      <c r="K79" s="59"/>
      <c r="L79" s="60"/>
      <c r="M79" s="58">
        <f>IF(ISERR(M63*$E44),0,M63*$E44)</f>
        <v>15</v>
      </c>
      <c r="N79" s="59"/>
      <c r="O79" s="59"/>
      <c r="P79" s="60"/>
      <c r="Q79" s="58">
        <f>IF(ISERR(Q63*$E44),0,Q63*$E44)</f>
        <v>15</v>
      </c>
      <c r="R79" s="59"/>
      <c r="S79" s="59"/>
      <c r="T79" s="60"/>
      <c r="U79" s="58">
        <f>IF(ISERR(U63*$E44),0,U63*$E44)</f>
        <v>0</v>
      </c>
      <c r="V79" s="59"/>
      <c r="W79" s="59"/>
      <c r="X79" s="60"/>
      <c r="Y79" s="58">
        <f>IF(ISERR(Y63*$E44),0,Y63*$E44)</f>
        <v>15</v>
      </c>
      <c r="Z79" s="59"/>
      <c r="AA79" s="59"/>
      <c r="AB79" s="60"/>
      <c r="AC79" s="58">
        <f>IF(ISERR(AC63*$E44),0,AC63*$E44)</f>
        <v>0</v>
      </c>
      <c r="AD79" s="59"/>
      <c r="AE79" s="59"/>
      <c r="AF79" s="60"/>
      <c r="AG79" s="58">
        <f>IF(ISERR(AG63*$E44),0,AG63*$E44)</f>
        <v>0</v>
      </c>
      <c r="AH79" s="59"/>
      <c r="AI79" s="59"/>
      <c r="AJ79" s="60"/>
      <c r="AK79" s="58">
        <f>IF(ISERR(AK63*$E44),0,AK63*$E44)</f>
        <v>15</v>
      </c>
      <c r="AL79" s="59"/>
      <c r="AM79" s="59"/>
      <c r="AN79" s="60"/>
      <c r="AO79" s="58">
        <f>IF(ISERR(AO63*$E44),0,AO63*$E44)</f>
        <v>0</v>
      </c>
      <c r="AP79" s="59"/>
      <c r="AQ79" s="59"/>
      <c r="AR79" s="60"/>
      <c r="AS79" s="58">
        <f>IF(ISERR(AS63*$E44),0,AS63*$E44)</f>
        <v>0</v>
      </c>
      <c r="AT79" s="59"/>
      <c r="AU79" s="59"/>
      <c r="AV79" s="60"/>
      <c r="AW79" s="58">
        <f>IF(ISERR(AW63*$E44),0,AW63*$E44)</f>
        <v>15</v>
      </c>
      <c r="AX79" s="59"/>
      <c r="AY79" s="59"/>
      <c r="AZ79" s="60"/>
    </row>
    <row r="80" spans="1:52" ht="26.25" customHeight="1" x14ac:dyDescent="0.25">
      <c r="H80" s="68"/>
      <c r="I80" s="58">
        <f>IF(ISERR(I64*$E45),0,I64*$E45)</f>
        <v>15</v>
      </c>
      <c r="J80" s="59"/>
      <c r="K80" s="59"/>
      <c r="L80" s="60"/>
      <c r="M80" s="58">
        <f>IF(ISERR(M64*$E45),0,M64*$E45)</f>
        <v>45</v>
      </c>
      <c r="N80" s="59"/>
      <c r="O80" s="59"/>
      <c r="P80" s="60"/>
      <c r="Q80" s="58">
        <f>IF(ISERR(Q64*$E45),0,Q64*$E45)</f>
        <v>15</v>
      </c>
      <c r="R80" s="59"/>
      <c r="S80" s="59"/>
      <c r="T80" s="60"/>
      <c r="U80" s="58">
        <f>IF(ISERR(U64*$E45),0,U64*$E45)</f>
        <v>0</v>
      </c>
      <c r="V80" s="59"/>
      <c r="W80" s="59"/>
      <c r="X80" s="60"/>
      <c r="Y80" s="58">
        <f>IF(ISERR(Y64*$E45),0,Y64*$E45)</f>
        <v>0</v>
      </c>
      <c r="Z80" s="59"/>
      <c r="AA80" s="59"/>
      <c r="AB80" s="60"/>
      <c r="AC80" s="58">
        <f>IF(ISERR(AC64*$E45),0,AC64*$E45)</f>
        <v>0</v>
      </c>
      <c r="AD80" s="59"/>
      <c r="AE80" s="59"/>
      <c r="AF80" s="60"/>
      <c r="AG80" s="58">
        <f>IF(ISERR(AG64*$E45),0,AG64*$E45)</f>
        <v>0</v>
      </c>
      <c r="AH80" s="59"/>
      <c r="AI80" s="59"/>
      <c r="AJ80" s="60"/>
      <c r="AK80" s="58">
        <f>IF(ISERR(AK64*$E45),0,AK64*$E45)</f>
        <v>0</v>
      </c>
      <c r="AL80" s="59"/>
      <c r="AM80" s="59"/>
      <c r="AN80" s="60"/>
      <c r="AO80" s="58">
        <f>IF(ISERR(AO64*$E45),0,AO64*$E45)</f>
        <v>135</v>
      </c>
      <c r="AP80" s="59"/>
      <c r="AQ80" s="59"/>
      <c r="AR80" s="60"/>
      <c r="AS80" s="58">
        <f>IF(ISERR(AS64*$E45),0,AS64*$E45)</f>
        <v>135</v>
      </c>
      <c r="AT80" s="59"/>
      <c r="AU80" s="59"/>
      <c r="AV80" s="60"/>
      <c r="AW80" s="58">
        <f>IF(ISERR(AW64*$E45),0,AW64*$E45)</f>
        <v>135</v>
      </c>
      <c r="AX80" s="59"/>
      <c r="AY80" s="59"/>
      <c r="AZ80" s="60"/>
    </row>
    <row r="81" spans="8:52" ht="26.25" customHeight="1" x14ac:dyDescent="0.25">
      <c r="H81" s="68"/>
      <c r="I81" s="58">
        <f>IF(ISERR(I65*$E46),0,I65*$E46)</f>
        <v>0</v>
      </c>
      <c r="J81" s="59"/>
      <c r="K81" s="59"/>
      <c r="L81" s="60"/>
      <c r="M81" s="58">
        <f>IF(ISERR(M65*$E46),0,M65*$E46)</f>
        <v>0</v>
      </c>
      <c r="N81" s="59"/>
      <c r="O81" s="59"/>
      <c r="P81" s="60"/>
      <c r="Q81" s="58">
        <f>IF(ISERR(Q65*$E46),0,Q65*$E46)</f>
        <v>0</v>
      </c>
      <c r="R81" s="59"/>
      <c r="S81" s="59"/>
      <c r="T81" s="60"/>
      <c r="U81" s="58">
        <f>IF(ISERR(U65*$E46),0,U65*$E46)</f>
        <v>0</v>
      </c>
      <c r="V81" s="59"/>
      <c r="W81" s="59"/>
      <c r="X81" s="60"/>
      <c r="Y81" s="58">
        <f>IF(ISERR(Y65*$E46),0,Y65*$E46)</f>
        <v>0</v>
      </c>
      <c r="Z81" s="59"/>
      <c r="AA81" s="59"/>
      <c r="AB81" s="60"/>
      <c r="AC81" s="58">
        <f>IF(ISERR(AC65*$E46),0,AC65*$E46)</f>
        <v>0</v>
      </c>
      <c r="AD81" s="59"/>
      <c r="AE81" s="59"/>
      <c r="AF81" s="60"/>
      <c r="AG81" s="58">
        <f>IF(ISERR(AG65*$E46),0,AG65*$E46)</f>
        <v>90</v>
      </c>
      <c r="AH81" s="59"/>
      <c r="AI81" s="59"/>
      <c r="AJ81" s="60"/>
      <c r="AK81" s="58">
        <f>IF(ISERR(AK65*$E46),0,AK65*$E46)</f>
        <v>0</v>
      </c>
      <c r="AL81" s="59"/>
      <c r="AM81" s="59"/>
      <c r="AN81" s="60"/>
      <c r="AO81" s="58">
        <f>IF(ISERR(AO65*$E46),0,AO65*$E46)</f>
        <v>0</v>
      </c>
      <c r="AP81" s="59"/>
      <c r="AQ81" s="59"/>
      <c r="AR81" s="60"/>
      <c r="AS81" s="58">
        <f>IF(ISERR(AS65*$E46),0,AS65*$E46)</f>
        <v>0</v>
      </c>
      <c r="AT81" s="59"/>
      <c r="AU81" s="59"/>
      <c r="AV81" s="60"/>
      <c r="AW81" s="58">
        <f>IF(ISERR(AW65*$E46),0,AW65*$E46)</f>
        <v>0</v>
      </c>
      <c r="AX81" s="59"/>
      <c r="AY81" s="59"/>
      <c r="AZ81" s="60"/>
    </row>
    <row r="82" spans="8:52" ht="26.25" customHeight="1" x14ac:dyDescent="0.25">
      <c r="H82" s="68"/>
      <c r="I82" s="58">
        <f>IF(ISERR(I66*$E47),0,I66*$E47)</f>
        <v>45</v>
      </c>
      <c r="J82" s="59"/>
      <c r="K82" s="59"/>
      <c r="L82" s="60"/>
      <c r="M82" s="58">
        <f>IF(ISERR(M66*$E47),0,M66*$E47)</f>
        <v>135</v>
      </c>
      <c r="N82" s="59"/>
      <c r="O82" s="59"/>
      <c r="P82" s="60"/>
      <c r="Q82" s="58">
        <f>IF(ISERR(Q66*$E47),0,Q66*$E47)</f>
        <v>45</v>
      </c>
      <c r="R82" s="59"/>
      <c r="S82" s="59"/>
      <c r="T82" s="60"/>
      <c r="U82" s="58">
        <f>IF(ISERR(U66*$E47),0,U66*$E47)</f>
        <v>15</v>
      </c>
      <c r="V82" s="59"/>
      <c r="W82" s="59"/>
      <c r="X82" s="60"/>
      <c r="Y82" s="58">
        <f>IF(ISERR(Y66*$E47),0,Y66*$E47)</f>
        <v>135</v>
      </c>
      <c r="Z82" s="59"/>
      <c r="AA82" s="59"/>
      <c r="AB82" s="60"/>
      <c r="AC82" s="58">
        <f>IF(ISERR(AC66*$E47),0,AC66*$E47)</f>
        <v>15</v>
      </c>
      <c r="AD82" s="59"/>
      <c r="AE82" s="59"/>
      <c r="AF82" s="60"/>
      <c r="AG82" s="58">
        <f>IF(ISERR(AG66*$E47),0,AG66*$E47)</f>
        <v>135</v>
      </c>
      <c r="AH82" s="59"/>
      <c r="AI82" s="59"/>
      <c r="AJ82" s="60"/>
      <c r="AK82" s="58">
        <f>IF(ISERR(AK66*$E47),0,AK66*$E47)</f>
        <v>45</v>
      </c>
      <c r="AL82" s="59"/>
      <c r="AM82" s="59"/>
      <c r="AN82" s="60"/>
      <c r="AO82" s="58">
        <f>IF(ISERR(AO66*$E47),0,AO66*$E47)</f>
        <v>0</v>
      </c>
      <c r="AP82" s="59"/>
      <c r="AQ82" s="59"/>
      <c r="AR82" s="60"/>
      <c r="AS82" s="58">
        <f>IF(ISERR(AS66*$E47),0,AS66*$E47)</f>
        <v>0</v>
      </c>
      <c r="AT82" s="59"/>
      <c r="AU82" s="59"/>
      <c r="AV82" s="60"/>
      <c r="AW82" s="58">
        <f>IF(ISERR(AW66*$E47),0,AW66*$E47)</f>
        <v>15</v>
      </c>
      <c r="AX82" s="59"/>
      <c r="AY82" s="59"/>
      <c r="AZ82" s="60"/>
    </row>
    <row r="83" spans="8:52" ht="26.25" customHeight="1" x14ac:dyDescent="0.25">
      <c r="H83" s="68"/>
      <c r="I83" s="58">
        <f>IF(ISERR(I67*$E48),0,I67*$E48)</f>
        <v>30</v>
      </c>
      <c r="J83" s="59"/>
      <c r="K83" s="59"/>
      <c r="L83" s="60"/>
      <c r="M83" s="58">
        <f>IF(ISERR(M67*$E48),0,M67*$E48)</f>
        <v>0</v>
      </c>
      <c r="N83" s="59"/>
      <c r="O83" s="59"/>
      <c r="P83" s="60"/>
      <c r="Q83" s="58">
        <f>IF(ISERR(Q67*$E48),0,Q67*$E48)</f>
        <v>0</v>
      </c>
      <c r="R83" s="59"/>
      <c r="S83" s="59"/>
      <c r="T83" s="60"/>
      <c r="U83" s="58">
        <f>IF(ISERR(U67*$E48),0,U67*$E48)</f>
        <v>0</v>
      </c>
      <c r="V83" s="59"/>
      <c r="W83" s="59"/>
      <c r="X83" s="60"/>
      <c r="Y83" s="58">
        <f>IF(ISERR(Y67*$E48),0,Y67*$E48)</f>
        <v>30</v>
      </c>
      <c r="Z83" s="59"/>
      <c r="AA83" s="59"/>
      <c r="AB83" s="60"/>
      <c r="AC83" s="58">
        <f>IF(ISERR(AC67*$E48),0,AC67*$E48)</f>
        <v>0</v>
      </c>
      <c r="AD83" s="59"/>
      <c r="AE83" s="59"/>
      <c r="AF83" s="60"/>
      <c r="AG83" s="58">
        <f>IF(ISERR(AG67*$E48),0,AG67*$E48)</f>
        <v>0</v>
      </c>
      <c r="AH83" s="59"/>
      <c r="AI83" s="59"/>
      <c r="AJ83" s="60"/>
      <c r="AK83" s="58">
        <f>IF(ISERR(AK67*$E48),0,AK67*$E48)</f>
        <v>0</v>
      </c>
      <c r="AL83" s="59"/>
      <c r="AM83" s="59"/>
      <c r="AN83" s="60"/>
      <c r="AO83" s="58">
        <f>IF(ISERR(AO67*$E48),0,AO67*$E48)</f>
        <v>0</v>
      </c>
      <c r="AP83" s="59"/>
      <c r="AQ83" s="59"/>
      <c r="AR83" s="60"/>
      <c r="AS83" s="58">
        <f>IF(ISERR(AS67*$E48),0,AS67*$E48)</f>
        <v>0</v>
      </c>
      <c r="AT83" s="59"/>
      <c r="AU83" s="59"/>
      <c r="AV83" s="60"/>
      <c r="AW83" s="58">
        <f>IF(ISERR(AW67*$E48),0,AW67*$E48)</f>
        <v>90</v>
      </c>
      <c r="AX83" s="59"/>
      <c r="AY83" s="59"/>
      <c r="AZ83" s="60"/>
    </row>
    <row r="84" spans="8:52" ht="26.25" customHeight="1" x14ac:dyDescent="0.25">
      <c r="H84" s="68"/>
      <c r="I84" s="58">
        <f>IF(ISERR(I68*$E49),0,I68*$E49)</f>
        <v>0</v>
      </c>
      <c r="J84" s="59"/>
      <c r="K84" s="59"/>
      <c r="L84" s="60"/>
      <c r="M84" s="58">
        <f>IF(ISERR(M68*$E49),0,M68*$E49)</f>
        <v>0</v>
      </c>
      <c r="N84" s="59"/>
      <c r="O84" s="59"/>
      <c r="P84" s="60"/>
      <c r="Q84" s="58">
        <f>IF(ISERR(Q68*$E49),0,Q68*$E49)</f>
        <v>0</v>
      </c>
      <c r="R84" s="59"/>
      <c r="S84" s="59"/>
      <c r="T84" s="60"/>
      <c r="U84" s="58">
        <f>IF(ISERR(U68*$E49),0,U68*$E49)</f>
        <v>0</v>
      </c>
      <c r="V84" s="59"/>
      <c r="W84" s="59"/>
      <c r="X84" s="60"/>
      <c r="Y84" s="58">
        <f>IF(ISERR(Y68*$E49),0,Y68*$E49)</f>
        <v>0</v>
      </c>
      <c r="Z84" s="59"/>
      <c r="AA84" s="59"/>
      <c r="AB84" s="60"/>
      <c r="AC84" s="58">
        <f>IF(ISERR(AC68*$E49),0,AC68*$E49)</f>
        <v>0</v>
      </c>
      <c r="AD84" s="59"/>
      <c r="AE84" s="59"/>
      <c r="AF84" s="60"/>
      <c r="AG84" s="58">
        <f>IF(ISERR(AG68*$E49),0,AG68*$E49)</f>
        <v>0</v>
      </c>
      <c r="AH84" s="59"/>
      <c r="AI84" s="59"/>
      <c r="AJ84" s="60"/>
      <c r="AK84" s="58">
        <f>IF(ISERR(AK68*$E49),0,AK68*$E49)</f>
        <v>0</v>
      </c>
      <c r="AL84" s="59"/>
      <c r="AM84" s="59"/>
      <c r="AN84" s="60"/>
      <c r="AO84" s="58">
        <f>IF(ISERR(AO68*$E49),0,AO68*$E49)</f>
        <v>0</v>
      </c>
      <c r="AP84" s="59"/>
      <c r="AQ84" s="59"/>
      <c r="AR84" s="60"/>
      <c r="AS84" s="58">
        <f>IF(ISERR(AS68*$E49),0,AS68*$E49)</f>
        <v>90</v>
      </c>
      <c r="AT84" s="59"/>
      <c r="AU84" s="59"/>
      <c r="AV84" s="60"/>
      <c r="AW84" s="58">
        <f>IF(ISERR(AW68*$E49),0,AW68*$E49)</f>
        <v>90</v>
      </c>
      <c r="AX84" s="59"/>
      <c r="AY84" s="59"/>
      <c r="AZ84" s="60"/>
    </row>
    <row r="85" spans="8:52" ht="26.25" customHeight="1" x14ac:dyDescent="0.25">
      <c r="H85" s="68"/>
      <c r="I85" s="58">
        <f>IF(ISERR(I69*$E50),0,I69*$E50)</f>
        <v>5</v>
      </c>
      <c r="J85" s="59"/>
      <c r="K85" s="59"/>
      <c r="L85" s="60"/>
      <c r="M85" s="58">
        <f>IF(ISERR(M69*$E50),0,M69*$E50)</f>
        <v>0</v>
      </c>
      <c r="N85" s="59"/>
      <c r="O85" s="59"/>
      <c r="P85" s="60"/>
      <c r="Q85" s="58">
        <f>IF(ISERR(Q69*$E50),0,Q69*$E50)</f>
        <v>0</v>
      </c>
      <c r="R85" s="59"/>
      <c r="S85" s="59"/>
      <c r="T85" s="60"/>
      <c r="U85" s="58">
        <f>IF(ISERR(U69*$E50),0,U69*$E50)</f>
        <v>0</v>
      </c>
      <c r="V85" s="59"/>
      <c r="W85" s="59"/>
      <c r="X85" s="60"/>
      <c r="Y85" s="58">
        <f>IF(ISERR(Y69*$E50),0,Y69*$E50)</f>
        <v>45</v>
      </c>
      <c r="Z85" s="59"/>
      <c r="AA85" s="59"/>
      <c r="AB85" s="60"/>
      <c r="AC85" s="58">
        <f>IF(ISERR(AC69*$E50),0,AC69*$E50)</f>
        <v>0</v>
      </c>
      <c r="AD85" s="59"/>
      <c r="AE85" s="59"/>
      <c r="AF85" s="60"/>
      <c r="AG85" s="58">
        <f>IF(ISERR(AG69*$E50),0,AG69*$E50)</f>
        <v>45</v>
      </c>
      <c r="AH85" s="59"/>
      <c r="AI85" s="59"/>
      <c r="AJ85" s="60"/>
      <c r="AK85" s="58">
        <f>IF(ISERR(AK69*$E50),0,AK69*$E50)</f>
        <v>0</v>
      </c>
      <c r="AL85" s="59"/>
      <c r="AM85" s="59"/>
      <c r="AN85" s="60"/>
      <c r="AO85" s="58">
        <f>IF(ISERR(AO69*$E50),0,AO69*$E50)</f>
        <v>0</v>
      </c>
      <c r="AP85" s="59"/>
      <c r="AQ85" s="59"/>
      <c r="AR85" s="60"/>
      <c r="AS85" s="58">
        <f>IF(ISERR(AS69*$E50),0,AS69*$E50)</f>
        <v>0</v>
      </c>
      <c r="AT85" s="59"/>
      <c r="AU85" s="59"/>
      <c r="AV85" s="60"/>
      <c r="AW85" s="58">
        <f>IF(ISERR(AW69*$E50),0,AW69*$E50)</f>
        <v>0</v>
      </c>
      <c r="AX85" s="59"/>
      <c r="AY85" s="59"/>
      <c r="AZ85" s="60"/>
    </row>
    <row r="86" spans="8:52" ht="26.25" customHeight="1" x14ac:dyDescent="0.25">
      <c r="H86" s="68"/>
      <c r="I86" s="58">
        <f>IF(ISERR(I70*$E51),0,I70*$E51)</f>
        <v>5</v>
      </c>
      <c r="J86" s="59"/>
      <c r="K86" s="59"/>
      <c r="L86" s="60"/>
      <c r="M86" s="58">
        <f>IF(ISERR(M70*$E51),0,M70*$E51)</f>
        <v>0</v>
      </c>
      <c r="N86" s="59"/>
      <c r="O86" s="59"/>
      <c r="P86" s="60"/>
      <c r="Q86" s="58">
        <f>IF(ISERR(Q70*$E51),0,Q70*$E51)</f>
        <v>0</v>
      </c>
      <c r="R86" s="59"/>
      <c r="S86" s="59"/>
      <c r="T86" s="60"/>
      <c r="U86" s="58">
        <f>IF(ISERR(U70*$E51),0,U70*$E51)</f>
        <v>0</v>
      </c>
      <c r="V86" s="59"/>
      <c r="W86" s="59"/>
      <c r="X86" s="60"/>
      <c r="Y86" s="58">
        <f>IF(ISERR(Y70*$E51),0,Y70*$E51)</f>
        <v>45</v>
      </c>
      <c r="Z86" s="59"/>
      <c r="AA86" s="59"/>
      <c r="AB86" s="60"/>
      <c r="AC86" s="58">
        <f>IF(ISERR(AC70*$E51),0,AC70*$E51)</f>
        <v>45</v>
      </c>
      <c r="AD86" s="59"/>
      <c r="AE86" s="59"/>
      <c r="AF86" s="60"/>
      <c r="AG86" s="58">
        <f>IF(ISERR(AG70*$E51),0,AG70*$E51)</f>
        <v>0</v>
      </c>
      <c r="AH86" s="59"/>
      <c r="AI86" s="59"/>
      <c r="AJ86" s="60"/>
      <c r="AK86" s="58">
        <f>IF(ISERR(AK70*$E51),0,AK70*$E51)</f>
        <v>45</v>
      </c>
      <c r="AL86" s="59"/>
      <c r="AM86" s="59"/>
      <c r="AN86" s="60"/>
      <c r="AO86" s="58">
        <f>IF(ISERR(AO70*$E51),0,AO70*$E51)</f>
        <v>0</v>
      </c>
      <c r="AP86" s="59"/>
      <c r="AQ86" s="59"/>
      <c r="AR86" s="60"/>
      <c r="AS86" s="58">
        <f>IF(ISERR(AS70*$E51),0,AS70*$E51)</f>
        <v>0</v>
      </c>
      <c r="AT86" s="59"/>
      <c r="AU86" s="59"/>
      <c r="AV86" s="60"/>
      <c r="AW86" s="58">
        <f>IF(ISERR(AW70*$E51),0,AW70*$E51)</f>
        <v>0</v>
      </c>
      <c r="AX86" s="59"/>
      <c r="AY86" s="59"/>
      <c r="AZ86" s="60"/>
    </row>
    <row r="87" spans="8:52" ht="26.25" customHeight="1" x14ac:dyDescent="0.25">
      <c r="H87" s="68"/>
      <c r="I87" s="58">
        <f>IF(ISERR(I71*#REF!),0,I71*#REF!)</f>
        <v>0</v>
      </c>
      <c r="J87" s="59"/>
      <c r="K87" s="59"/>
      <c r="L87" s="60"/>
      <c r="M87" s="58">
        <f>IF(ISERR(M71*#REF!),0,M71*#REF!)</f>
        <v>0</v>
      </c>
      <c r="N87" s="59"/>
      <c r="O87" s="59"/>
      <c r="P87" s="60"/>
      <c r="Q87" s="58">
        <f>IF(ISERR(Q71*#REF!),0,Q71*#REF!)</f>
        <v>0</v>
      </c>
      <c r="R87" s="59"/>
      <c r="S87" s="59"/>
      <c r="T87" s="60"/>
      <c r="U87" s="58">
        <f>IF(ISERR(U71*#REF!),0,U71*#REF!)</f>
        <v>0</v>
      </c>
      <c r="V87" s="59"/>
      <c r="W87" s="59"/>
      <c r="X87" s="60"/>
      <c r="Y87" s="58">
        <f>IF(ISERR(Y71*#REF!),0,Y71*#REF!)</f>
        <v>0</v>
      </c>
      <c r="Z87" s="59"/>
      <c r="AA87" s="59"/>
      <c r="AB87" s="60"/>
      <c r="AC87" s="58">
        <f>IF(ISERR(AC71*#REF!),0,AC71*#REF!)</f>
        <v>0</v>
      </c>
      <c r="AD87" s="59"/>
      <c r="AE87" s="59"/>
      <c r="AF87" s="60"/>
      <c r="AG87" s="58">
        <f>IF(ISERR(AG71*#REF!),0,AG71*#REF!)</f>
        <v>0</v>
      </c>
      <c r="AH87" s="59"/>
      <c r="AI87" s="59"/>
      <c r="AJ87" s="60"/>
      <c r="AK87" s="58">
        <f>IF(ISERR(AK71*#REF!),0,AK71*#REF!)</f>
        <v>0</v>
      </c>
      <c r="AL87" s="59"/>
      <c r="AM87" s="59"/>
      <c r="AN87" s="60"/>
      <c r="AO87" s="58">
        <f>IF(ISERR(AO71*#REF!),0,AO71*#REF!)</f>
        <v>0</v>
      </c>
      <c r="AP87" s="59"/>
      <c r="AQ87" s="59"/>
      <c r="AR87" s="60"/>
      <c r="AS87" s="58">
        <f>IF(ISERR(AS71*#REF!),0,AS71*#REF!)</f>
        <v>0</v>
      </c>
      <c r="AT87" s="59"/>
      <c r="AU87" s="59"/>
      <c r="AV87" s="60"/>
      <c r="AW87" s="58">
        <f>IF(ISERR(AW71*#REF!),0,AW71*#REF!)</f>
        <v>0</v>
      </c>
      <c r="AX87" s="59"/>
      <c r="AY87" s="59"/>
      <c r="AZ87" s="60"/>
    </row>
    <row r="88" spans="8:52" ht="26.25" customHeight="1" x14ac:dyDescent="0.25">
      <c r="H88" s="68"/>
      <c r="I88" s="58">
        <f>IF(ISERR(I72*#REF!),0,I72*#REF!)</f>
        <v>0</v>
      </c>
      <c r="J88" s="59"/>
      <c r="K88" s="59"/>
      <c r="L88" s="60"/>
      <c r="M88" s="58">
        <f>IF(ISERR(M72*#REF!),0,M72*#REF!)</f>
        <v>0</v>
      </c>
      <c r="N88" s="59"/>
      <c r="O88" s="59"/>
      <c r="P88" s="60"/>
      <c r="Q88" s="58">
        <f>IF(ISERR(Q72*#REF!),0,Q72*#REF!)</f>
        <v>0</v>
      </c>
      <c r="R88" s="59"/>
      <c r="S88" s="59"/>
      <c r="T88" s="60"/>
      <c r="U88" s="58">
        <f>IF(ISERR(U72*#REF!),0,U72*#REF!)</f>
        <v>0</v>
      </c>
      <c r="V88" s="59"/>
      <c r="W88" s="59"/>
      <c r="X88" s="60"/>
      <c r="Y88" s="58">
        <f>IF(ISERR(Y72*#REF!),0,Y72*#REF!)</f>
        <v>0</v>
      </c>
      <c r="Z88" s="59"/>
      <c r="AA88" s="59"/>
      <c r="AB88" s="60"/>
      <c r="AC88" s="58">
        <f>IF(ISERR(AC72*#REF!),0,AC72*#REF!)</f>
        <v>0</v>
      </c>
      <c r="AD88" s="59"/>
      <c r="AE88" s="59"/>
      <c r="AF88" s="60"/>
      <c r="AG88" s="58">
        <f>IF(ISERR(AG72*#REF!),0,AG72*#REF!)</f>
        <v>0</v>
      </c>
      <c r="AH88" s="59"/>
      <c r="AI88" s="59"/>
      <c r="AJ88" s="60"/>
      <c r="AK88" s="58">
        <f>IF(ISERR(AK72*#REF!),0,AK72*#REF!)</f>
        <v>0</v>
      </c>
      <c r="AL88" s="59"/>
      <c r="AM88" s="59"/>
      <c r="AN88" s="60"/>
      <c r="AO88" s="58">
        <f>IF(ISERR(AO72*#REF!),0,AO72*#REF!)</f>
        <v>0</v>
      </c>
      <c r="AP88" s="59"/>
      <c r="AQ88" s="59"/>
      <c r="AR88" s="60"/>
      <c r="AS88" s="58">
        <f>IF(ISERR(AS72*#REF!),0,AS72*#REF!)</f>
        <v>0</v>
      </c>
      <c r="AT88" s="59"/>
      <c r="AU88" s="59"/>
      <c r="AV88" s="60"/>
      <c r="AW88" s="58">
        <f>IF(ISERR(AW72*#REF!),0,AW72*#REF!)</f>
        <v>0</v>
      </c>
      <c r="AX88" s="59"/>
      <c r="AY88" s="59"/>
      <c r="AZ88" s="60"/>
    </row>
    <row r="89" spans="8:52" ht="26.25" customHeight="1" x14ac:dyDescent="0.25">
      <c r="H89" s="68"/>
      <c r="I89" s="58">
        <f>IF(ISERR(I73*#REF!),0,I73*#REF!)</f>
        <v>0</v>
      </c>
      <c r="J89" s="59"/>
      <c r="K89" s="59"/>
      <c r="L89" s="60"/>
      <c r="M89" s="58">
        <f>IF(ISERR(M73*#REF!),0,M73*#REF!)</f>
        <v>0</v>
      </c>
      <c r="N89" s="59"/>
      <c r="O89" s="59"/>
      <c r="P89" s="60"/>
      <c r="Q89" s="58">
        <f>IF(ISERR(Q73*#REF!),0,Q73*#REF!)</f>
        <v>0</v>
      </c>
      <c r="R89" s="59"/>
      <c r="S89" s="59"/>
      <c r="T89" s="60"/>
      <c r="U89" s="58">
        <f>IF(ISERR(U73*#REF!),0,U73*#REF!)</f>
        <v>0</v>
      </c>
      <c r="V89" s="59"/>
      <c r="W89" s="59"/>
      <c r="X89" s="60"/>
      <c r="Y89" s="58">
        <f>IF(ISERR(Y73*#REF!),0,Y73*#REF!)</f>
        <v>0</v>
      </c>
      <c r="Z89" s="59"/>
      <c r="AA89" s="59"/>
      <c r="AB89" s="60"/>
      <c r="AC89" s="58">
        <f>IF(ISERR(AC73*#REF!),0,AC73*#REF!)</f>
        <v>0</v>
      </c>
      <c r="AD89" s="59"/>
      <c r="AE89" s="59"/>
      <c r="AF89" s="60"/>
      <c r="AG89" s="58">
        <f>IF(ISERR(AG73*#REF!),0,AG73*#REF!)</f>
        <v>0</v>
      </c>
      <c r="AH89" s="59"/>
      <c r="AI89" s="59"/>
      <c r="AJ89" s="60"/>
      <c r="AK89" s="58">
        <f>IF(ISERR(AK73*#REF!),0,AK73*#REF!)</f>
        <v>0</v>
      </c>
      <c r="AL89" s="59"/>
      <c r="AM89" s="59"/>
      <c r="AN89" s="60"/>
      <c r="AO89" s="58">
        <f>IF(ISERR(AO73*#REF!),0,AO73*#REF!)</f>
        <v>0</v>
      </c>
      <c r="AP89" s="59"/>
      <c r="AQ89" s="59"/>
      <c r="AR89" s="60"/>
      <c r="AS89" s="58">
        <f>IF(ISERR(AS73*#REF!),0,AS73*#REF!)</f>
        <v>0</v>
      </c>
      <c r="AT89" s="59"/>
      <c r="AU89" s="59"/>
      <c r="AV89" s="60"/>
      <c r="AW89" s="58">
        <f>IF(ISERR(AW73*#REF!),0,AW73*#REF!)</f>
        <v>0</v>
      </c>
      <c r="AX89" s="59"/>
      <c r="AY89" s="59"/>
      <c r="AZ89" s="60"/>
    </row>
    <row r="90" spans="8:52" ht="26.25" customHeight="1" x14ac:dyDescent="0.25">
      <c r="H90" s="68"/>
      <c r="I90" s="58">
        <f>IF(ISERR(I74*#REF!),0,I74*#REF!)</f>
        <v>0</v>
      </c>
      <c r="J90" s="59"/>
      <c r="K90" s="59"/>
      <c r="L90" s="60"/>
      <c r="M90" s="58">
        <f>IF(ISERR(M74*#REF!),0,M74*#REF!)</f>
        <v>0</v>
      </c>
      <c r="N90" s="59"/>
      <c r="O90" s="59"/>
      <c r="P90" s="60"/>
      <c r="Q90" s="58">
        <f>IF(ISERR(Q74*#REF!),0,Q74*#REF!)</f>
        <v>0</v>
      </c>
      <c r="R90" s="59"/>
      <c r="S90" s="59"/>
      <c r="T90" s="60"/>
      <c r="U90" s="58">
        <f>IF(ISERR(U74*#REF!),0,U74*#REF!)</f>
        <v>0</v>
      </c>
      <c r="V90" s="59"/>
      <c r="W90" s="59"/>
      <c r="X90" s="60"/>
      <c r="Y90" s="58">
        <f>IF(ISERR(Y74*#REF!),0,Y74*#REF!)</f>
        <v>0</v>
      </c>
      <c r="Z90" s="59"/>
      <c r="AA90" s="59"/>
      <c r="AB90" s="60"/>
      <c r="AC90" s="58">
        <f>IF(ISERR(AC74*#REF!),0,AC74*#REF!)</f>
        <v>0</v>
      </c>
      <c r="AD90" s="59"/>
      <c r="AE90" s="59"/>
      <c r="AF90" s="60"/>
      <c r="AG90" s="58">
        <f>IF(ISERR(AG74*#REF!),0,AG74*#REF!)</f>
        <v>0</v>
      </c>
      <c r="AH90" s="59"/>
      <c r="AI90" s="59"/>
      <c r="AJ90" s="60"/>
      <c r="AK90" s="58">
        <f>IF(ISERR(AK74*#REF!),0,AK74*#REF!)</f>
        <v>0</v>
      </c>
      <c r="AL90" s="59"/>
      <c r="AM90" s="59"/>
      <c r="AN90" s="60"/>
      <c r="AO90" s="58">
        <f>IF(ISERR(AO74*#REF!),0,AO74*#REF!)</f>
        <v>0</v>
      </c>
      <c r="AP90" s="59"/>
      <c r="AQ90" s="59"/>
      <c r="AR90" s="60"/>
      <c r="AS90" s="58">
        <f>IF(ISERR(AS74*#REF!),0,AS74*#REF!)</f>
        <v>0</v>
      </c>
      <c r="AT90" s="59"/>
      <c r="AU90" s="59"/>
      <c r="AV90" s="60"/>
      <c r="AW90" s="58">
        <f>IF(ISERR(AW74*#REF!),0,AW74*#REF!)</f>
        <v>0</v>
      </c>
      <c r="AX90" s="59"/>
      <c r="AY90" s="59"/>
      <c r="AZ90" s="60"/>
    </row>
    <row r="91" spans="8:52" ht="26.25" customHeight="1" x14ac:dyDescent="0.25">
      <c r="H91" s="68"/>
      <c r="I91" s="58">
        <f>IF(ISERR(I75*#REF!),0,I75*#REF!)</f>
        <v>0</v>
      </c>
      <c r="J91" s="59"/>
      <c r="K91" s="59"/>
      <c r="L91" s="60"/>
      <c r="M91" s="58">
        <f>IF(ISERR(M75*#REF!),0,M75*#REF!)</f>
        <v>0</v>
      </c>
      <c r="N91" s="59"/>
      <c r="O91" s="59"/>
      <c r="P91" s="60"/>
      <c r="Q91" s="58">
        <f>IF(ISERR(Q75*#REF!),0,Q75*#REF!)</f>
        <v>0</v>
      </c>
      <c r="R91" s="59"/>
      <c r="S91" s="59"/>
      <c r="T91" s="60"/>
      <c r="U91" s="58">
        <f>IF(ISERR(U75*#REF!),0,U75*#REF!)</f>
        <v>0</v>
      </c>
      <c r="V91" s="59"/>
      <c r="W91" s="59"/>
      <c r="X91" s="60"/>
      <c r="Y91" s="58">
        <f>IF(ISERR(Y75*#REF!),0,Y75*#REF!)</f>
        <v>0</v>
      </c>
      <c r="Z91" s="59"/>
      <c r="AA91" s="59"/>
      <c r="AB91" s="60"/>
      <c r="AC91" s="58">
        <f>IF(ISERR(AC75*#REF!),0,AC75*#REF!)</f>
        <v>0</v>
      </c>
      <c r="AD91" s="59"/>
      <c r="AE91" s="59"/>
      <c r="AF91" s="60"/>
      <c r="AG91" s="58">
        <f>IF(ISERR(AG75*#REF!),0,AG75*#REF!)</f>
        <v>0</v>
      </c>
      <c r="AH91" s="59"/>
      <c r="AI91" s="59"/>
      <c r="AJ91" s="60"/>
      <c r="AK91" s="58">
        <f>IF(ISERR(AK75*#REF!),0,AK75*#REF!)</f>
        <v>0</v>
      </c>
      <c r="AL91" s="59"/>
      <c r="AM91" s="59"/>
      <c r="AN91" s="60"/>
      <c r="AO91" s="58">
        <f>IF(ISERR(AO75*#REF!),0,AO75*#REF!)</f>
        <v>0</v>
      </c>
      <c r="AP91" s="59"/>
      <c r="AQ91" s="59"/>
      <c r="AR91" s="60"/>
      <c r="AS91" s="58">
        <f>IF(ISERR(AS75*#REF!),0,AS75*#REF!)</f>
        <v>0</v>
      </c>
      <c r="AT91" s="59"/>
      <c r="AU91" s="59"/>
      <c r="AV91" s="60"/>
      <c r="AW91" s="58">
        <f>IF(ISERR(AW75*#REF!),0,AW75*#REF!)</f>
        <v>0</v>
      </c>
      <c r="AX91" s="59"/>
      <c r="AY91" s="59"/>
      <c r="AZ91" s="60"/>
    </row>
    <row r="92" spans="8:52" ht="26.25" customHeight="1" x14ac:dyDescent="0.25">
      <c r="H92" s="68"/>
      <c r="I92" s="58">
        <f>IF(ISERR(I76*#REF!),0,I76*#REF!)</f>
        <v>0</v>
      </c>
      <c r="J92" s="59"/>
      <c r="K92" s="59"/>
      <c r="L92" s="60"/>
      <c r="M92" s="58">
        <f>IF(ISERR(M76*#REF!),0,M76*#REF!)</f>
        <v>0</v>
      </c>
      <c r="N92" s="59"/>
      <c r="O92" s="59"/>
      <c r="P92" s="60"/>
      <c r="Q92" s="58">
        <f>IF(ISERR(Q76*#REF!),0,Q76*#REF!)</f>
        <v>0</v>
      </c>
      <c r="R92" s="59"/>
      <c r="S92" s="59"/>
      <c r="T92" s="60"/>
      <c r="U92" s="58">
        <f>IF(ISERR(U76*#REF!),0,U76*#REF!)</f>
        <v>0</v>
      </c>
      <c r="V92" s="59"/>
      <c r="W92" s="59"/>
      <c r="X92" s="60"/>
      <c r="Y92" s="58">
        <f>IF(ISERR(Y76*#REF!),0,Y76*#REF!)</f>
        <v>0</v>
      </c>
      <c r="Z92" s="59"/>
      <c r="AA92" s="59"/>
      <c r="AB92" s="60"/>
      <c r="AC92" s="58">
        <f>IF(ISERR(AC76*#REF!),0,AC76*#REF!)</f>
        <v>0</v>
      </c>
      <c r="AD92" s="59"/>
      <c r="AE92" s="59"/>
      <c r="AF92" s="60"/>
      <c r="AG92" s="58">
        <f>IF(ISERR(AG76*#REF!),0,AG76*#REF!)</f>
        <v>0</v>
      </c>
      <c r="AH92" s="59"/>
      <c r="AI92" s="59"/>
      <c r="AJ92" s="60"/>
      <c r="AK92" s="58">
        <f>IF(ISERR(AK76*#REF!),0,AK76*#REF!)</f>
        <v>0</v>
      </c>
      <c r="AL92" s="59"/>
      <c r="AM92" s="59"/>
      <c r="AN92" s="60"/>
      <c r="AO92" s="58">
        <f>IF(ISERR(AO76*#REF!),0,AO76*#REF!)</f>
        <v>0</v>
      </c>
      <c r="AP92" s="59"/>
      <c r="AQ92" s="59"/>
      <c r="AR92" s="60"/>
      <c r="AS92" s="58">
        <f>IF(ISERR(AS76*#REF!),0,AS76*#REF!)</f>
        <v>0</v>
      </c>
      <c r="AT92" s="59"/>
      <c r="AU92" s="59"/>
      <c r="AV92" s="60"/>
      <c r="AW92" s="58">
        <f>IF(ISERR(AW76*#REF!),0,AW76*#REF!)</f>
        <v>0</v>
      </c>
      <c r="AX92" s="59"/>
      <c r="AY92" s="59"/>
      <c r="AZ92" s="60"/>
    </row>
    <row r="93" spans="8:52" ht="26.25" customHeight="1" x14ac:dyDescent="0.25">
      <c r="H93" s="68"/>
      <c r="I93" s="58">
        <f>IF(ISERR(I77*#REF!),0,I77*#REF!)</f>
        <v>0</v>
      </c>
      <c r="J93" s="59"/>
      <c r="K93" s="59"/>
      <c r="L93" s="60"/>
      <c r="M93" s="58">
        <f>IF(ISERR(M77*#REF!),0,M77*#REF!)</f>
        <v>0</v>
      </c>
      <c r="N93" s="59"/>
      <c r="O93" s="59"/>
      <c r="P93" s="60"/>
      <c r="Q93" s="58">
        <f>IF(ISERR(Q77*#REF!),0,Q77*#REF!)</f>
        <v>0</v>
      </c>
      <c r="R93" s="59"/>
      <c r="S93" s="59"/>
      <c r="T93" s="60"/>
      <c r="U93" s="58">
        <f>IF(ISERR(U77*#REF!),0,U77*#REF!)</f>
        <v>0</v>
      </c>
      <c r="V93" s="59"/>
      <c r="W93" s="59"/>
      <c r="X93" s="60"/>
      <c r="Y93" s="58">
        <f>IF(ISERR(Y77*#REF!),0,Y77*#REF!)</f>
        <v>0</v>
      </c>
      <c r="Z93" s="59"/>
      <c r="AA93" s="59"/>
      <c r="AB93" s="60"/>
      <c r="AC93" s="58">
        <f>IF(ISERR(AC77*#REF!),0,AC77*#REF!)</f>
        <v>0</v>
      </c>
      <c r="AD93" s="59"/>
      <c r="AE93" s="59"/>
      <c r="AF93" s="60"/>
      <c r="AG93" s="58">
        <f>IF(ISERR(AG77*#REF!),0,AG77*#REF!)</f>
        <v>0</v>
      </c>
      <c r="AH93" s="59"/>
      <c r="AI93" s="59"/>
      <c r="AJ93" s="60"/>
      <c r="AK93" s="58">
        <f>IF(ISERR(AK77*#REF!),0,AK77*#REF!)</f>
        <v>0</v>
      </c>
      <c r="AL93" s="59"/>
      <c r="AM93" s="59"/>
      <c r="AN93" s="60"/>
      <c r="AO93" s="58">
        <f>IF(ISERR(AO77*#REF!),0,AO77*#REF!)</f>
        <v>0</v>
      </c>
      <c r="AP93" s="59"/>
      <c r="AQ93" s="59"/>
      <c r="AR93" s="60"/>
      <c r="AS93" s="58">
        <f>IF(ISERR(AS77*#REF!),0,AS77*#REF!)</f>
        <v>0</v>
      </c>
      <c r="AT93" s="59"/>
      <c r="AU93" s="59"/>
      <c r="AV93" s="60"/>
      <c r="AW93" s="58">
        <f>IF(ISERR(AW77*#REF!),0,AW77*#REF!)</f>
        <v>0</v>
      </c>
      <c r="AX93" s="59"/>
      <c r="AY93" s="59"/>
      <c r="AZ93" s="60"/>
    </row>
    <row r="94" spans="8:52" ht="26.25" customHeight="1" x14ac:dyDescent="0.25">
      <c r="H94" s="68"/>
      <c r="I94" s="64">
        <f>SUM(I78:L93)</f>
        <v>190</v>
      </c>
      <c r="J94" s="65"/>
      <c r="K94" s="65"/>
      <c r="L94" s="66"/>
      <c r="M94" s="64">
        <f t="shared" ref="M94" si="40">SUM(M78:P93)</f>
        <v>330</v>
      </c>
      <c r="N94" s="65"/>
      <c r="O94" s="65"/>
      <c r="P94" s="66"/>
      <c r="Q94" s="64">
        <f t="shared" ref="Q94" si="41">SUM(Q78:T93)</f>
        <v>210</v>
      </c>
      <c r="R94" s="65"/>
      <c r="S94" s="65"/>
      <c r="T94" s="66"/>
      <c r="U94" s="64">
        <f t="shared" ref="U94" si="42">SUM(U78:X93)</f>
        <v>150</v>
      </c>
      <c r="V94" s="65"/>
      <c r="W94" s="65"/>
      <c r="X94" s="66"/>
      <c r="Y94" s="64">
        <f t="shared" ref="Y94" si="43">SUM(Y78:AB93)</f>
        <v>405</v>
      </c>
      <c r="Z94" s="65"/>
      <c r="AA94" s="65"/>
      <c r="AB94" s="66"/>
      <c r="AC94" s="64">
        <f t="shared" ref="AC94" si="44">SUM(AC78:AF93)</f>
        <v>60</v>
      </c>
      <c r="AD94" s="65"/>
      <c r="AE94" s="65"/>
      <c r="AF94" s="66"/>
      <c r="AG94" s="64">
        <f t="shared" ref="AG94" si="45">SUM(AG78:AJ93)</f>
        <v>405</v>
      </c>
      <c r="AH94" s="65"/>
      <c r="AI94" s="65"/>
      <c r="AJ94" s="66"/>
      <c r="AK94" s="64">
        <f t="shared" ref="AK94" si="46">SUM(AK78:AN93)</f>
        <v>105</v>
      </c>
      <c r="AL94" s="65"/>
      <c r="AM94" s="65"/>
      <c r="AN94" s="66"/>
      <c r="AO94" s="64">
        <f t="shared" ref="AO94" si="47">SUM(AO78:AR93)</f>
        <v>135</v>
      </c>
      <c r="AP94" s="65"/>
      <c r="AQ94" s="65"/>
      <c r="AR94" s="66"/>
      <c r="AS94" s="64">
        <f t="shared" ref="AS94" si="48">SUM(AS78:AV93)</f>
        <v>240</v>
      </c>
      <c r="AT94" s="65"/>
      <c r="AU94" s="65"/>
      <c r="AV94" s="66"/>
      <c r="AW94" s="64">
        <f t="shared" ref="AW94" si="49">SUM(AW78:AZ93)</f>
        <v>390</v>
      </c>
      <c r="AX94" s="65"/>
      <c r="AY94" s="65"/>
      <c r="AZ94" s="66"/>
    </row>
    <row r="95" spans="8:52" ht="26.25" customHeight="1" x14ac:dyDescent="0.25">
      <c r="H95" s="69" t="str">
        <f>F55</f>
        <v>Competitive Cyclists</v>
      </c>
      <c r="I95" s="61">
        <f>IF(ISERR(I62*$F43),0,I62*$F43)</f>
        <v>60</v>
      </c>
      <c r="J95" s="62"/>
      <c r="K95" s="62"/>
      <c r="L95" s="63"/>
      <c r="M95" s="61">
        <f>IF(ISERR(M62*$F43),0,M62*$F43)</f>
        <v>180</v>
      </c>
      <c r="N95" s="62"/>
      <c r="O95" s="62"/>
      <c r="P95" s="63"/>
      <c r="Q95" s="61">
        <f>IF(ISERR(Q62*$F43),0,Q62*$F43)</f>
        <v>180</v>
      </c>
      <c r="R95" s="62"/>
      <c r="S95" s="62"/>
      <c r="T95" s="63"/>
      <c r="U95" s="61">
        <f>IF(ISERR(U62*$F43),0,U62*$F43)</f>
        <v>180</v>
      </c>
      <c r="V95" s="62"/>
      <c r="W95" s="62"/>
      <c r="X95" s="63"/>
      <c r="Y95" s="61">
        <f>IF(ISERR(Y62*$F43),0,Y62*$F43)</f>
        <v>180</v>
      </c>
      <c r="Z95" s="62"/>
      <c r="AA95" s="62"/>
      <c r="AB95" s="63"/>
      <c r="AC95" s="61">
        <f>IF(ISERR(AC62*$F43),0,AC62*$F43)</f>
        <v>0</v>
      </c>
      <c r="AD95" s="62"/>
      <c r="AE95" s="62"/>
      <c r="AF95" s="63"/>
      <c r="AG95" s="61">
        <f>IF(ISERR(AG62*$F43),0,AG62*$F43)</f>
        <v>180</v>
      </c>
      <c r="AH95" s="62"/>
      <c r="AI95" s="62"/>
      <c r="AJ95" s="63"/>
      <c r="AK95" s="61">
        <f>IF(ISERR(AK62*$F43),0,AK62*$F43)</f>
        <v>0</v>
      </c>
      <c r="AL95" s="62"/>
      <c r="AM95" s="62"/>
      <c r="AN95" s="63"/>
      <c r="AO95" s="61">
        <f>IF(ISERR(AO62*$F43),0,AO62*$F43)</f>
        <v>0</v>
      </c>
      <c r="AP95" s="62"/>
      <c r="AQ95" s="62"/>
      <c r="AR95" s="63"/>
      <c r="AS95" s="61">
        <f>IF(ISERR(AS62*$F43),0,AS62*$F43)</f>
        <v>20</v>
      </c>
      <c r="AT95" s="62"/>
      <c r="AU95" s="62"/>
      <c r="AV95" s="63"/>
      <c r="AW95" s="61">
        <f>IF(ISERR(AW62*$F43),0,AW62*$F43)</f>
        <v>60</v>
      </c>
      <c r="AX95" s="62"/>
      <c r="AY95" s="62"/>
      <c r="AZ95" s="63"/>
    </row>
    <row r="96" spans="8:52" ht="26.25" customHeight="1" x14ac:dyDescent="0.25">
      <c r="H96" s="70"/>
      <c r="I96" s="61">
        <f>IF(ISERR(I63*$F44),0,I63*$F44)</f>
        <v>45</v>
      </c>
      <c r="J96" s="62"/>
      <c r="K96" s="62"/>
      <c r="L96" s="63"/>
      <c r="M96" s="61">
        <f>IF(ISERR(M63*$F44),0,M63*$F44)</f>
        <v>15</v>
      </c>
      <c r="N96" s="62"/>
      <c r="O96" s="62"/>
      <c r="P96" s="63"/>
      <c r="Q96" s="61">
        <f>IF(ISERR(Q63*$F44),0,Q63*$F44)</f>
        <v>15</v>
      </c>
      <c r="R96" s="62"/>
      <c r="S96" s="62"/>
      <c r="T96" s="63"/>
      <c r="U96" s="61">
        <f>IF(ISERR(U63*$F44),0,U63*$F44)</f>
        <v>0</v>
      </c>
      <c r="V96" s="62"/>
      <c r="W96" s="62"/>
      <c r="X96" s="63"/>
      <c r="Y96" s="61">
        <f>IF(ISERR(Y63*$F44),0,Y63*$F44)</f>
        <v>15</v>
      </c>
      <c r="Z96" s="62"/>
      <c r="AA96" s="62"/>
      <c r="AB96" s="63"/>
      <c r="AC96" s="61">
        <f>IF(ISERR(AC63*$F44),0,AC63*$F44)</f>
        <v>0</v>
      </c>
      <c r="AD96" s="62"/>
      <c r="AE96" s="62"/>
      <c r="AF96" s="63"/>
      <c r="AG96" s="61">
        <f>IF(ISERR(AG63*$F44),0,AG63*$F44)</f>
        <v>0</v>
      </c>
      <c r="AH96" s="62"/>
      <c r="AI96" s="62"/>
      <c r="AJ96" s="63"/>
      <c r="AK96" s="61">
        <f>IF(ISERR(AK63*$F44),0,AK63*$F44)</f>
        <v>15</v>
      </c>
      <c r="AL96" s="62"/>
      <c r="AM96" s="62"/>
      <c r="AN96" s="63"/>
      <c r="AO96" s="61">
        <f>IF(ISERR(AO63*$F44),0,AO63*$F44)</f>
        <v>0</v>
      </c>
      <c r="AP96" s="62"/>
      <c r="AQ96" s="62"/>
      <c r="AR96" s="63"/>
      <c r="AS96" s="61">
        <f>IF(ISERR(AS63*$F44),0,AS63*$F44)</f>
        <v>0</v>
      </c>
      <c r="AT96" s="62"/>
      <c r="AU96" s="62"/>
      <c r="AV96" s="63"/>
      <c r="AW96" s="61">
        <f>IF(ISERR(AW63*$F44),0,AW63*$F44)</f>
        <v>15</v>
      </c>
      <c r="AX96" s="62"/>
      <c r="AY96" s="62"/>
      <c r="AZ96" s="63"/>
    </row>
    <row r="97" spans="8:52" ht="26.25" customHeight="1" x14ac:dyDescent="0.25">
      <c r="H97" s="70"/>
      <c r="I97" s="61">
        <f>IF(ISERR(I64*$F45),0,I64*$F45)</f>
        <v>5</v>
      </c>
      <c r="J97" s="62"/>
      <c r="K97" s="62"/>
      <c r="L97" s="63"/>
      <c r="M97" s="61">
        <f>IF(ISERR(M64*$F45),0,M64*$F45)</f>
        <v>15</v>
      </c>
      <c r="N97" s="62"/>
      <c r="O97" s="62"/>
      <c r="P97" s="63"/>
      <c r="Q97" s="61">
        <f>IF(ISERR(Q64*$F45),0,Q64*$F45)</f>
        <v>5</v>
      </c>
      <c r="R97" s="62"/>
      <c r="S97" s="62"/>
      <c r="T97" s="63"/>
      <c r="U97" s="61">
        <f>IF(ISERR(U64*$F45),0,U64*$F45)</f>
        <v>0</v>
      </c>
      <c r="V97" s="62"/>
      <c r="W97" s="62"/>
      <c r="X97" s="63"/>
      <c r="Y97" s="61">
        <f>IF(ISERR(Y64*$F45),0,Y64*$F45)</f>
        <v>0</v>
      </c>
      <c r="Z97" s="62"/>
      <c r="AA97" s="62"/>
      <c r="AB97" s="63"/>
      <c r="AC97" s="61">
        <f>IF(ISERR(AC64*$F45),0,AC64*$F45)</f>
        <v>0</v>
      </c>
      <c r="AD97" s="62"/>
      <c r="AE97" s="62"/>
      <c r="AF97" s="63"/>
      <c r="AG97" s="61">
        <f>IF(ISERR(AG64*$F45),0,AG64*$F45)</f>
        <v>0</v>
      </c>
      <c r="AH97" s="62"/>
      <c r="AI97" s="62"/>
      <c r="AJ97" s="63"/>
      <c r="AK97" s="61">
        <f>IF(ISERR(AK64*$F45),0,AK64*$F45)</f>
        <v>0</v>
      </c>
      <c r="AL97" s="62"/>
      <c r="AM97" s="62"/>
      <c r="AN97" s="63"/>
      <c r="AO97" s="61">
        <f>IF(ISERR(AO64*$F45),0,AO64*$F45)</f>
        <v>45</v>
      </c>
      <c r="AP97" s="62"/>
      <c r="AQ97" s="62"/>
      <c r="AR97" s="63"/>
      <c r="AS97" s="61">
        <f>IF(ISERR(AS64*$F45),0,AS64*$F45)</f>
        <v>45</v>
      </c>
      <c r="AT97" s="62"/>
      <c r="AU97" s="62"/>
      <c r="AV97" s="63"/>
      <c r="AW97" s="61">
        <f>IF(ISERR(AW64*$F45),0,AW64*$F45)</f>
        <v>45</v>
      </c>
      <c r="AX97" s="62"/>
      <c r="AY97" s="62"/>
      <c r="AZ97" s="63"/>
    </row>
    <row r="98" spans="8:52" ht="26.25" customHeight="1" x14ac:dyDescent="0.25">
      <c r="H98" s="70"/>
      <c r="I98" s="61">
        <f>IF(ISERR(I65*$F46),0,I65*$F46)</f>
        <v>0</v>
      </c>
      <c r="J98" s="62"/>
      <c r="K98" s="62"/>
      <c r="L98" s="63"/>
      <c r="M98" s="61">
        <f>IF(ISERR(M65*$F46),0,M65*$F46)</f>
        <v>0</v>
      </c>
      <c r="N98" s="62"/>
      <c r="O98" s="62"/>
      <c r="P98" s="63"/>
      <c r="Q98" s="61">
        <f>IF(ISERR(Q65*$F46),0,Q65*$F46)</f>
        <v>0</v>
      </c>
      <c r="R98" s="62"/>
      <c r="S98" s="62"/>
      <c r="T98" s="63"/>
      <c r="U98" s="61">
        <f>IF(ISERR(U65*$F46),0,U65*$F46)</f>
        <v>0</v>
      </c>
      <c r="V98" s="62"/>
      <c r="W98" s="62"/>
      <c r="X98" s="63"/>
      <c r="Y98" s="61">
        <f>IF(ISERR(Y65*$F46),0,Y65*$F46)</f>
        <v>0</v>
      </c>
      <c r="Z98" s="62"/>
      <c r="AA98" s="62"/>
      <c r="AB98" s="63"/>
      <c r="AC98" s="61">
        <f>IF(ISERR(AC65*$F46),0,AC65*$F46)</f>
        <v>0</v>
      </c>
      <c r="AD98" s="62"/>
      <c r="AE98" s="62"/>
      <c r="AF98" s="63"/>
      <c r="AG98" s="61">
        <f>IF(ISERR(AG65*$F46),0,AG65*$F46)</f>
        <v>135</v>
      </c>
      <c r="AH98" s="62"/>
      <c r="AI98" s="62"/>
      <c r="AJ98" s="63"/>
      <c r="AK98" s="61">
        <f>IF(ISERR(AK65*$F46),0,AK65*$F46)</f>
        <v>0</v>
      </c>
      <c r="AL98" s="62"/>
      <c r="AM98" s="62"/>
      <c r="AN98" s="63"/>
      <c r="AO98" s="61">
        <f>IF(ISERR(AO65*$F46),0,AO65*$F46)</f>
        <v>0</v>
      </c>
      <c r="AP98" s="62"/>
      <c r="AQ98" s="62"/>
      <c r="AR98" s="63"/>
      <c r="AS98" s="61">
        <f>IF(ISERR(AS65*$F46),0,AS65*$F46)</f>
        <v>0</v>
      </c>
      <c r="AT98" s="62"/>
      <c r="AU98" s="62"/>
      <c r="AV98" s="63"/>
      <c r="AW98" s="61">
        <f>IF(ISERR(AW65*$F46),0,AW65*$F46)</f>
        <v>0</v>
      </c>
      <c r="AX98" s="62"/>
      <c r="AY98" s="62"/>
      <c r="AZ98" s="63"/>
    </row>
    <row r="99" spans="8:52" ht="26.25" customHeight="1" x14ac:dyDescent="0.25">
      <c r="H99" s="70"/>
      <c r="I99" s="61">
        <f>IF(ISERR(I66*$F47),0,I66*$F47)</f>
        <v>15</v>
      </c>
      <c r="J99" s="62"/>
      <c r="K99" s="62"/>
      <c r="L99" s="63"/>
      <c r="M99" s="61">
        <f>IF(ISERR(M66*$F47),0,M66*$F47)</f>
        <v>45</v>
      </c>
      <c r="N99" s="62"/>
      <c r="O99" s="62"/>
      <c r="P99" s="63"/>
      <c r="Q99" s="61">
        <f>IF(ISERR(Q66*$F47),0,Q66*$F47)</f>
        <v>15</v>
      </c>
      <c r="R99" s="62"/>
      <c r="S99" s="62"/>
      <c r="T99" s="63"/>
      <c r="U99" s="61">
        <f>IF(ISERR(U66*$F47),0,U66*$F47)</f>
        <v>5</v>
      </c>
      <c r="V99" s="62"/>
      <c r="W99" s="62"/>
      <c r="X99" s="63"/>
      <c r="Y99" s="61">
        <f>IF(ISERR(Y66*$F47),0,Y66*$F47)</f>
        <v>45</v>
      </c>
      <c r="Z99" s="62"/>
      <c r="AA99" s="62"/>
      <c r="AB99" s="63"/>
      <c r="AC99" s="61">
        <f>IF(ISERR(AC66*$F47),0,AC66*$F47)</f>
        <v>5</v>
      </c>
      <c r="AD99" s="62"/>
      <c r="AE99" s="62"/>
      <c r="AF99" s="63"/>
      <c r="AG99" s="61">
        <f>IF(ISERR(AG66*$F47),0,AG66*$F47)</f>
        <v>45</v>
      </c>
      <c r="AH99" s="62"/>
      <c r="AI99" s="62"/>
      <c r="AJ99" s="63"/>
      <c r="AK99" s="61">
        <f>IF(ISERR(AK66*$F47),0,AK66*$F47)</f>
        <v>15</v>
      </c>
      <c r="AL99" s="62"/>
      <c r="AM99" s="62"/>
      <c r="AN99" s="63"/>
      <c r="AO99" s="61">
        <f>IF(ISERR(AO66*$F47),0,AO66*$F47)</f>
        <v>0</v>
      </c>
      <c r="AP99" s="62"/>
      <c r="AQ99" s="62"/>
      <c r="AR99" s="63"/>
      <c r="AS99" s="61">
        <f>IF(ISERR(AS66*$F47),0,AS66*$F47)</f>
        <v>0</v>
      </c>
      <c r="AT99" s="62"/>
      <c r="AU99" s="62"/>
      <c r="AV99" s="63"/>
      <c r="AW99" s="61">
        <f>IF(ISERR(AW66*$F47),0,AW66*$F47)</f>
        <v>5</v>
      </c>
      <c r="AX99" s="62"/>
      <c r="AY99" s="62"/>
      <c r="AZ99" s="63"/>
    </row>
    <row r="100" spans="8:52" ht="26.25" customHeight="1" x14ac:dyDescent="0.25">
      <c r="H100" s="70"/>
      <c r="I100" s="61">
        <f>IF(ISERR(I67*$F48),0,I67*$F48)</f>
        <v>30</v>
      </c>
      <c r="J100" s="62"/>
      <c r="K100" s="62"/>
      <c r="L100" s="63"/>
      <c r="M100" s="61">
        <f>IF(ISERR(M67*$F48),0,M67*$F48)</f>
        <v>0</v>
      </c>
      <c r="N100" s="62"/>
      <c r="O100" s="62"/>
      <c r="P100" s="63"/>
      <c r="Q100" s="61">
        <f>IF(ISERR(Q67*$F48),0,Q67*$F48)</f>
        <v>0</v>
      </c>
      <c r="R100" s="62"/>
      <c r="S100" s="62"/>
      <c r="T100" s="63"/>
      <c r="U100" s="61">
        <f>IF(ISERR(U67*$F48),0,U67*$F48)</f>
        <v>0</v>
      </c>
      <c r="V100" s="62"/>
      <c r="W100" s="62"/>
      <c r="X100" s="63"/>
      <c r="Y100" s="61">
        <f>IF(ISERR(Y67*$F48),0,Y67*$F48)</f>
        <v>30</v>
      </c>
      <c r="Z100" s="62"/>
      <c r="AA100" s="62"/>
      <c r="AB100" s="63"/>
      <c r="AC100" s="61">
        <f>IF(ISERR(AC67*$F48),0,AC67*$F48)</f>
        <v>0</v>
      </c>
      <c r="AD100" s="62"/>
      <c r="AE100" s="62"/>
      <c r="AF100" s="63"/>
      <c r="AG100" s="61">
        <f>IF(ISERR(AG67*$F48),0,AG67*$F48)</f>
        <v>0</v>
      </c>
      <c r="AH100" s="62"/>
      <c r="AI100" s="62"/>
      <c r="AJ100" s="63"/>
      <c r="AK100" s="61">
        <f>IF(ISERR(AK67*$F48),0,AK67*$F48)</f>
        <v>0</v>
      </c>
      <c r="AL100" s="62"/>
      <c r="AM100" s="62"/>
      <c r="AN100" s="63"/>
      <c r="AO100" s="61">
        <f>IF(ISERR(AO67*$F48),0,AO67*$F48)</f>
        <v>0</v>
      </c>
      <c r="AP100" s="62"/>
      <c r="AQ100" s="62"/>
      <c r="AR100" s="63"/>
      <c r="AS100" s="61">
        <f>IF(ISERR(AS67*$F48),0,AS67*$F48)</f>
        <v>0</v>
      </c>
      <c r="AT100" s="62"/>
      <c r="AU100" s="62"/>
      <c r="AV100" s="63"/>
      <c r="AW100" s="61">
        <f>IF(ISERR(AW67*$F48),0,AW67*$F48)</f>
        <v>90</v>
      </c>
      <c r="AX100" s="62"/>
      <c r="AY100" s="62"/>
      <c r="AZ100" s="63"/>
    </row>
    <row r="101" spans="8:52" ht="26.25" customHeight="1" x14ac:dyDescent="0.25">
      <c r="H101" s="70"/>
      <c r="I101" s="61">
        <f>IF(ISERR(I68*$F49),0,I68*$F49)</f>
        <v>0</v>
      </c>
      <c r="J101" s="62"/>
      <c r="K101" s="62"/>
      <c r="L101" s="63"/>
      <c r="M101" s="61">
        <f>IF(ISERR(M68*$F49),0,M68*$F49)</f>
        <v>0</v>
      </c>
      <c r="N101" s="62"/>
      <c r="O101" s="62"/>
      <c r="P101" s="63"/>
      <c r="Q101" s="61">
        <f>IF(ISERR(Q68*$F49),0,Q68*$F49)</f>
        <v>0</v>
      </c>
      <c r="R101" s="62"/>
      <c r="S101" s="62"/>
      <c r="T101" s="63"/>
      <c r="U101" s="61">
        <f>IF(ISERR(U68*$F49),0,U68*$F49)</f>
        <v>0</v>
      </c>
      <c r="V101" s="62"/>
      <c r="W101" s="62"/>
      <c r="X101" s="63"/>
      <c r="Y101" s="61">
        <f>IF(ISERR(Y68*$F49),0,Y68*$F49)</f>
        <v>0</v>
      </c>
      <c r="Z101" s="62"/>
      <c r="AA101" s="62"/>
      <c r="AB101" s="63"/>
      <c r="AC101" s="61">
        <f>IF(ISERR(AC68*$F49),0,AC68*$F49)</f>
        <v>0</v>
      </c>
      <c r="AD101" s="62"/>
      <c r="AE101" s="62"/>
      <c r="AF101" s="63"/>
      <c r="AG101" s="61">
        <f>IF(ISERR(AG68*$F49),0,AG68*$F49)</f>
        <v>0</v>
      </c>
      <c r="AH101" s="62"/>
      <c r="AI101" s="62"/>
      <c r="AJ101" s="63"/>
      <c r="AK101" s="61">
        <f>IF(ISERR(AK68*$F49),0,AK68*$F49)</f>
        <v>0</v>
      </c>
      <c r="AL101" s="62"/>
      <c r="AM101" s="62"/>
      <c r="AN101" s="63"/>
      <c r="AO101" s="61">
        <f>IF(ISERR(AO68*$F49),0,AO68*$F49)</f>
        <v>0</v>
      </c>
      <c r="AP101" s="62"/>
      <c r="AQ101" s="62"/>
      <c r="AR101" s="63"/>
      <c r="AS101" s="61">
        <f>IF(ISERR(AS68*$F49),0,AS68*$F49)</f>
        <v>45</v>
      </c>
      <c r="AT101" s="62"/>
      <c r="AU101" s="62"/>
      <c r="AV101" s="63"/>
      <c r="AW101" s="61">
        <f>IF(ISERR(AW68*$F49),0,AW68*$F49)</f>
        <v>45</v>
      </c>
      <c r="AX101" s="62"/>
      <c r="AY101" s="62"/>
      <c r="AZ101" s="63"/>
    </row>
    <row r="102" spans="8:52" ht="26.25" customHeight="1" x14ac:dyDescent="0.25">
      <c r="H102" s="70"/>
      <c r="I102" s="61">
        <f>IF(ISERR(I69*$F50),0,I69*$F50)</f>
        <v>15</v>
      </c>
      <c r="J102" s="62"/>
      <c r="K102" s="62"/>
      <c r="L102" s="63"/>
      <c r="M102" s="61">
        <f>IF(ISERR(M69*$F50),0,M69*$F50)</f>
        <v>0</v>
      </c>
      <c r="N102" s="62"/>
      <c r="O102" s="62"/>
      <c r="P102" s="63"/>
      <c r="Q102" s="61">
        <f>IF(ISERR(Q69*$F50),0,Q69*$F50)</f>
        <v>0</v>
      </c>
      <c r="R102" s="62"/>
      <c r="S102" s="62"/>
      <c r="T102" s="63"/>
      <c r="U102" s="61">
        <f>IF(ISERR(U69*$F50),0,U69*$F50)</f>
        <v>0</v>
      </c>
      <c r="V102" s="62"/>
      <c r="W102" s="62"/>
      <c r="X102" s="63"/>
      <c r="Y102" s="61">
        <f>IF(ISERR(Y69*$F50),0,Y69*$F50)</f>
        <v>135</v>
      </c>
      <c r="Z102" s="62"/>
      <c r="AA102" s="62"/>
      <c r="AB102" s="63"/>
      <c r="AC102" s="61">
        <f>IF(ISERR(AC69*$F50),0,AC69*$F50)</f>
        <v>0</v>
      </c>
      <c r="AD102" s="62"/>
      <c r="AE102" s="62"/>
      <c r="AF102" s="63"/>
      <c r="AG102" s="61">
        <f>IF(ISERR(AG69*$F50),0,AG69*$F50)</f>
        <v>135</v>
      </c>
      <c r="AH102" s="62"/>
      <c r="AI102" s="62"/>
      <c r="AJ102" s="63"/>
      <c r="AK102" s="61">
        <f>IF(ISERR(AK69*$F50),0,AK69*$F50)</f>
        <v>0</v>
      </c>
      <c r="AL102" s="62"/>
      <c r="AM102" s="62"/>
      <c r="AN102" s="63"/>
      <c r="AO102" s="61">
        <f>IF(ISERR(AO69*$F50),0,AO69*$F50)</f>
        <v>0</v>
      </c>
      <c r="AP102" s="62"/>
      <c r="AQ102" s="62"/>
      <c r="AR102" s="63"/>
      <c r="AS102" s="61">
        <f>IF(ISERR(AS69*$F50),0,AS69*$F50)</f>
        <v>0</v>
      </c>
      <c r="AT102" s="62"/>
      <c r="AU102" s="62"/>
      <c r="AV102" s="63"/>
      <c r="AW102" s="61">
        <f>IF(ISERR(AW69*$F50),0,AW69*$F50)</f>
        <v>0</v>
      </c>
      <c r="AX102" s="62"/>
      <c r="AY102" s="62"/>
      <c r="AZ102" s="63"/>
    </row>
    <row r="103" spans="8:52" ht="26.25" customHeight="1" x14ac:dyDescent="0.25">
      <c r="H103" s="70"/>
      <c r="I103" s="61">
        <f>IF(ISERR(I70*$F51),0,I70*$F51)</f>
        <v>10</v>
      </c>
      <c r="J103" s="62"/>
      <c r="K103" s="62"/>
      <c r="L103" s="63"/>
      <c r="M103" s="61">
        <f>IF(ISERR(M70*$F51),0,M70*$F51)</f>
        <v>0</v>
      </c>
      <c r="N103" s="62"/>
      <c r="O103" s="62"/>
      <c r="P103" s="63"/>
      <c r="Q103" s="61">
        <f>IF(ISERR(Q70*$F51),0,Q70*$F51)</f>
        <v>0</v>
      </c>
      <c r="R103" s="62"/>
      <c r="S103" s="62"/>
      <c r="T103" s="63"/>
      <c r="U103" s="61">
        <f>IF(ISERR(U70*$F51),0,U70*$F51)</f>
        <v>0</v>
      </c>
      <c r="V103" s="62"/>
      <c r="W103" s="62"/>
      <c r="X103" s="63"/>
      <c r="Y103" s="61">
        <f>IF(ISERR(Y70*$F51),0,Y70*$F51)</f>
        <v>90</v>
      </c>
      <c r="Z103" s="62"/>
      <c r="AA103" s="62"/>
      <c r="AB103" s="63"/>
      <c r="AC103" s="61">
        <f>IF(ISERR(AC70*$F51),0,AC70*$F51)</f>
        <v>90</v>
      </c>
      <c r="AD103" s="62"/>
      <c r="AE103" s="62"/>
      <c r="AF103" s="63"/>
      <c r="AG103" s="61">
        <f>IF(ISERR(AG70*$F51),0,AG70*$F51)</f>
        <v>0</v>
      </c>
      <c r="AH103" s="62"/>
      <c r="AI103" s="62"/>
      <c r="AJ103" s="63"/>
      <c r="AK103" s="61">
        <f>IF(ISERR(AK70*$F51),0,AK70*$F51)</f>
        <v>90</v>
      </c>
      <c r="AL103" s="62"/>
      <c r="AM103" s="62"/>
      <c r="AN103" s="63"/>
      <c r="AO103" s="61">
        <f>IF(ISERR(AO70*$F51),0,AO70*$F51)</f>
        <v>0</v>
      </c>
      <c r="AP103" s="62"/>
      <c r="AQ103" s="62"/>
      <c r="AR103" s="63"/>
      <c r="AS103" s="61">
        <f>IF(ISERR(AS70*$F51),0,AS70*$F51)</f>
        <v>0</v>
      </c>
      <c r="AT103" s="62"/>
      <c r="AU103" s="62"/>
      <c r="AV103" s="63"/>
      <c r="AW103" s="61">
        <f>IF(ISERR(AW70*$F51),0,AW70*$F51)</f>
        <v>0</v>
      </c>
      <c r="AX103" s="62"/>
      <c r="AY103" s="62"/>
      <c r="AZ103" s="63"/>
    </row>
    <row r="104" spans="8:52" ht="26.25" customHeight="1" x14ac:dyDescent="0.25">
      <c r="H104" s="70"/>
      <c r="I104" s="61">
        <f>IF(ISERR(I71*#REF!),0,I71*#REF!)</f>
        <v>0</v>
      </c>
      <c r="J104" s="62"/>
      <c r="K104" s="62"/>
      <c r="L104" s="63"/>
      <c r="M104" s="61">
        <f>IF(ISERR(M71*#REF!),0,M71*#REF!)</f>
        <v>0</v>
      </c>
      <c r="N104" s="62"/>
      <c r="O104" s="62"/>
      <c r="P104" s="63"/>
      <c r="Q104" s="61">
        <f>IF(ISERR(Q71*#REF!),0,Q71*#REF!)</f>
        <v>0</v>
      </c>
      <c r="R104" s="62"/>
      <c r="S104" s="62"/>
      <c r="T104" s="63"/>
      <c r="U104" s="61">
        <f>IF(ISERR(U71*#REF!),0,U71*#REF!)</f>
        <v>0</v>
      </c>
      <c r="V104" s="62"/>
      <c r="W104" s="62"/>
      <c r="X104" s="63"/>
      <c r="Y104" s="61">
        <f>IF(ISERR(Y71*#REF!),0,Y71*#REF!)</f>
        <v>0</v>
      </c>
      <c r="Z104" s="62"/>
      <c r="AA104" s="62"/>
      <c r="AB104" s="63"/>
      <c r="AC104" s="61">
        <f>IF(ISERR(AC71*#REF!),0,AC71*#REF!)</f>
        <v>0</v>
      </c>
      <c r="AD104" s="62"/>
      <c r="AE104" s="62"/>
      <c r="AF104" s="63"/>
      <c r="AG104" s="61">
        <f>IF(ISERR(AG71*#REF!),0,AG71*#REF!)</f>
        <v>0</v>
      </c>
      <c r="AH104" s="62"/>
      <c r="AI104" s="62"/>
      <c r="AJ104" s="63"/>
      <c r="AK104" s="61">
        <f>IF(ISERR(AK71*#REF!),0,AK71*#REF!)</f>
        <v>0</v>
      </c>
      <c r="AL104" s="62"/>
      <c r="AM104" s="62"/>
      <c r="AN104" s="63"/>
      <c r="AO104" s="61">
        <f>IF(ISERR(AO71*#REF!),0,AO71*#REF!)</f>
        <v>0</v>
      </c>
      <c r="AP104" s="62"/>
      <c r="AQ104" s="62"/>
      <c r="AR104" s="63"/>
      <c r="AS104" s="61">
        <f>IF(ISERR(AS71*#REF!),0,AS71*#REF!)</f>
        <v>0</v>
      </c>
      <c r="AT104" s="62"/>
      <c r="AU104" s="62"/>
      <c r="AV104" s="63"/>
      <c r="AW104" s="61">
        <f>IF(ISERR(AW71*#REF!),0,AW71*#REF!)</f>
        <v>0</v>
      </c>
      <c r="AX104" s="62"/>
      <c r="AY104" s="62"/>
      <c r="AZ104" s="63"/>
    </row>
    <row r="105" spans="8:52" ht="26.25" customHeight="1" x14ac:dyDescent="0.25">
      <c r="H105" s="70"/>
      <c r="I105" s="61">
        <f>IF(ISERR(I72*#REF!),0,I72*#REF!)</f>
        <v>0</v>
      </c>
      <c r="J105" s="62"/>
      <c r="K105" s="62"/>
      <c r="L105" s="63"/>
      <c r="M105" s="61">
        <f>IF(ISERR(M72*#REF!),0,M72*#REF!)</f>
        <v>0</v>
      </c>
      <c r="N105" s="62"/>
      <c r="O105" s="62"/>
      <c r="P105" s="63"/>
      <c r="Q105" s="61">
        <f>IF(ISERR(Q72*#REF!),0,Q72*#REF!)</f>
        <v>0</v>
      </c>
      <c r="R105" s="62"/>
      <c r="S105" s="62"/>
      <c r="T105" s="63"/>
      <c r="U105" s="61">
        <f>IF(ISERR(U72*#REF!),0,U72*#REF!)</f>
        <v>0</v>
      </c>
      <c r="V105" s="62"/>
      <c r="W105" s="62"/>
      <c r="X105" s="63"/>
      <c r="Y105" s="61">
        <f>IF(ISERR(Y72*#REF!),0,Y72*#REF!)</f>
        <v>0</v>
      </c>
      <c r="Z105" s="62"/>
      <c r="AA105" s="62"/>
      <c r="AB105" s="63"/>
      <c r="AC105" s="61">
        <f>IF(ISERR(AC72*#REF!),0,AC72*#REF!)</f>
        <v>0</v>
      </c>
      <c r="AD105" s="62"/>
      <c r="AE105" s="62"/>
      <c r="AF105" s="63"/>
      <c r="AG105" s="61">
        <f>IF(ISERR(AG72*#REF!),0,AG72*#REF!)</f>
        <v>0</v>
      </c>
      <c r="AH105" s="62"/>
      <c r="AI105" s="62"/>
      <c r="AJ105" s="63"/>
      <c r="AK105" s="61">
        <f>IF(ISERR(AK72*#REF!),0,AK72*#REF!)</f>
        <v>0</v>
      </c>
      <c r="AL105" s="62"/>
      <c r="AM105" s="62"/>
      <c r="AN105" s="63"/>
      <c r="AO105" s="61">
        <f>IF(ISERR(AO72*#REF!),0,AO72*#REF!)</f>
        <v>0</v>
      </c>
      <c r="AP105" s="62"/>
      <c r="AQ105" s="62"/>
      <c r="AR105" s="63"/>
      <c r="AS105" s="61">
        <f>IF(ISERR(AS72*#REF!),0,AS72*#REF!)</f>
        <v>0</v>
      </c>
      <c r="AT105" s="62"/>
      <c r="AU105" s="62"/>
      <c r="AV105" s="63"/>
      <c r="AW105" s="61">
        <f>IF(ISERR(AW72*#REF!),0,AW72*#REF!)</f>
        <v>0</v>
      </c>
      <c r="AX105" s="62"/>
      <c r="AY105" s="62"/>
      <c r="AZ105" s="63"/>
    </row>
    <row r="106" spans="8:52" ht="26.25" customHeight="1" x14ac:dyDescent="0.25">
      <c r="H106" s="70"/>
      <c r="I106" s="61">
        <f>IF(ISERR(I73*#REF!),0,I73*#REF!)</f>
        <v>0</v>
      </c>
      <c r="J106" s="62"/>
      <c r="K106" s="62"/>
      <c r="L106" s="63"/>
      <c r="M106" s="61">
        <f>IF(ISERR(M73*#REF!),0,M73*#REF!)</f>
        <v>0</v>
      </c>
      <c r="N106" s="62"/>
      <c r="O106" s="62"/>
      <c r="P106" s="63"/>
      <c r="Q106" s="61">
        <f>IF(ISERR(Q73*#REF!),0,Q73*#REF!)</f>
        <v>0</v>
      </c>
      <c r="R106" s="62"/>
      <c r="S106" s="62"/>
      <c r="T106" s="63"/>
      <c r="U106" s="61">
        <f>IF(ISERR(U73*#REF!),0,U73*#REF!)</f>
        <v>0</v>
      </c>
      <c r="V106" s="62"/>
      <c r="W106" s="62"/>
      <c r="X106" s="63"/>
      <c r="Y106" s="61">
        <f>IF(ISERR(Y73*#REF!),0,Y73*#REF!)</f>
        <v>0</v>
      </c>
      <c r="Z106" s="62"/>
      <c r="AA106" s="62"/>
      <c r="AB106" s="63"/>
      <c r="AC106" s="61">
        <f>IF(ISERR(AC73*#REF!),0,AC73*#REF!)</f>
        <v>0</v>
      </c>
      <c r="AD106" s="62"/>
      <c r="AE106" s="62"/>
      <c r="AF106" s="63"/>
      <c r="AG106" s="61">
        <f>IF(ISERR(AG73*#REF!),0,AG73*#REF!)</f>
        <v>0</v>
      </c>
      <c r="AH106" s="62"/>
      <c r="AI106" s="62"/>
      <c r="AJ106" s="63"/>
      <c r="AK106" s="61">
        <f>IF(ISERR(AK73*#REF!),0,AK73*#REF!)</f>
        <v>0</v>
      </c>
      <c r="AL106" s="62"/>
      <c r="AM106" s="62"/>
      <c r="AN106" s="63"/>
      <c r="AO106" s="61">
        <f>IF(ISERR(AO73*#REF!),0,AO73*#REF!)</f>
        <v>0</v>
      </c>
      <c r="AP106" s="62"/>
      <c r="AQ106" s="62"/>
      <c r="AR106" s="63"/>
      <c r="AS106" s="61">
        <f>IF(ISERR(AS73*#REF!),0,AS73*#REF!)</f>
        <v>0</v>
      </c>
      <c r="AT106" s="62"/>
      <c r="AU106" s="62"/>
      <c r="AV106" s="63"/>
      <c r="AW106" s="61">
        <f>IF(ISERR(AW73*#REF!),0,AW73*#REF!)</f>
        <v>0</v>
      </c>
      <c r="AX106" s="62"/>
      <c r="AY106" s="62"/>
      <c r="AZ106" s="63"/>
    </row>
    <row r="107" spans="8:52" ht="26.25" customHeight="1" x14ac:dyDescent="0.25">
      <c r="H107" s="70"/>
      <c r="I107" s="61">
        <f>IF(ISERR(I74*#REF!),0,I74*#REF!)</f>
        <v>0</v>
      </c>
      <c r="J107" s="62"/>
      <c r="K107" s="62"/>
      <c r="L107" s="63"/>
      <c r="M107" s="61">
        <f>IF(ISERR(M74*#REF!),0,M74*#REF!)</f>
        <v>0</v>
      </c>
      <c r="N107" s="62"/>
      <c r="O107" s="62"/>
      <c r="P107" s="63"/>
      <c r="Q107" s="61">
        <f>IF(ISERR(Q74*#REF!),0,Q74*#REF!)</f>
        <v>0</v>
      </c>
      <c r="R107" s="62"/>
      <c r="S107" s="62"/>
      <c r="T107" s="63"/>
      <c r="U107" s="61">
        <f>IF(ISERR(U74*#REF!),0,U74*#REF!)</f>
        <v>0</v>
      </c>
      <c r="V107" s="62"/>
      <c r="W107" s="62"/>
      <c r="X107" s="63"/>
      <c r="Y107" s="61">
        <f>IF(ISERR(Y74*#REF!),0,Y74*#REF!)</f>
        <v>0</v>
      </c>
      <c r="Z107" s="62"/>
      <c r="AA107" s="62"/>
      <c r="AB107" s="63"/>
      <c r="AC107" s="61">
        <f>IF(ISERR(AC74*#REF!),0,AC74*#REF!)</f>
        <v>0</v>
      </c>
      <c r="AD107" s="62"/>
      <c r="AE107" s="62"/>
      <c r="AF107" s="63"/>
      <c r="AG107" s="61">
        <f>IF(ISERR(AG74*#REF!),0,AG74*#REF!)</f>
        <v>0</v>
      </c>
      <c r="AH107" s="62"/>
      <c r="AI107" s="62"/>
      <c r="AJ107" s="63"/>
      <c r="AK107" s="61">
        <f>IF(ISERR(AK74*#REF!),0,AK74*#REF!)</f>
        <v>0</v>
      </c>
      <c r="AL107" s="62"/>
      <c r="AM107" s="62"/>
      <c r="AN107" s="63"/>
      <c r="AO107" s="61">
        <f>IF(ISERR(AO74*#REF!),0,AO74*#REF!)</f>
        <v>0</v>
      </c>
      <c r="AP107" s="62"/>
      <c r="AQ107" s="62"/>
      <c r="AR107" s="63"/>
      <c r="AS107" s="61">
        <f>IF(ISERR(AS74*#REF!),0,AS74*#REF!)</f>
        <v>0</v>
      </c>
      <c r="AT107" s="62"/>
      <c r="AU107" s="62"/>
      <c r="AV107" s="63"/>
      <c r="AW107" s="61">
        <f>IF(ISERR(AW74*#REF!),0,AW74*#REF!)</f>
        <v>0</v>
      </c>
      <c r="AX107" s="62"/>
      <c r="AY107" s="62"/>
      <c r="AZ107" s="63"/>
    </row>
    <row r="108" spans="8:52" ht="26.25" customHeight="1" x14ac:dyDescent="0.25">
      <c r="H108" s="70"/>
      <c r="I108" s="61">
        <f>IF(ISERR(I75*#REF!),0,I75*#REF!)</f>
        <v>0</v>
      </c>
      <c r="J108" s="62"/>
      <c r="K108" s="62"/>
      <c r="L108" s="63"/>
      <c r="M108" s="61">
        <f>IF(ISERR(M75*#REF!),0,M75*#REF!)</f>
        <v>0</v>
      </c>
      <c r="N108" s="62"/>
      <c r="O108" s="62"/>
      <c r="P108" s="63"/>
      <c r="Q108" s="61">
        <f>IF(ISERR(Q75*#REF!),0,Q75*#REF!)</f>
        <v>0</v>
      </c>
      <c r="R108" s="62"/>
      <c r="S108" s="62"/>
      <c r="T108" s="63"/>
      <c r="U108" s="61">
        <f>IF(ISERR(U75*#REF!),0,U75*#REF!)</f>
        <v>0</v>
      </c>
      <c r="V108" s="62"/>
      <c r="W108" s="62"/>
      <c r="X108" s="63"/>
      <c r="Y108" s="61">
        <f>IF(ISERR(Y75*#REF!),0,Y75*#REF!)</f>
        <v>0</v>
      </c>
      <c r="Z108" s="62"/>
      <c r="AA108" s="62"/>
      <c r="AB108" s="63"/>
      <c r="AC108" s="61">
        <f>IF(ISERR(AC75*#REF!),0,AC75*#REF!)</f>
        <v>0</v>
      </c>
      <c r="AD108" s="62"/>
      <c r="AE108" s="62"/>
      <c r="AF108" s="63"/>
      <c r="AG108" s="61">
        <f>IF(ISERR(AG75*#REF!),0,AG75*#REF!)</f>
        <v>0</v>
      </c>
      <c r="AH108" s="62"/>
      <c r="AI108" s="62"/>
      <c r="AJ108" s="63"/>
      <c r="AK108" s="61">
        <f>IF(ISERR(AK75*#REF!),0,AK75*#REF!)</f>
        <v>0</v>
      </c>
      <c r="AL108" s="62"/>
      <c r="AM108" s="62"/>
      <c r="AN108" s="63"/>
      <c r="AO108" s="61">
        <f>IF(ISERR(AO75*#REF!),0,AO75*#REF!)</f>
        <v>0</v>
      </c>
      <c r="AP108" s="62"/>
      <c r="AQ108" s="62"/>
      <c r="AR108" s="63"/>
      <c r="AS108" s="61">
        <f>IF(ISERR(AS75*#REF!),0,AS75*#REF!)</f>
        <v>0</v>
      </c>
      <c r="AT108" s="62"/>
      <c r="AU108" s="62"/>
      <c r="AV108" s="63"/>
      <c r="AW108" s="61">
        <f>IF(ISERR(AW75*#REF!),0,AW75*#REF!)</f>
        <v>0</v>
      </c>
      <c r="AX108" s="62"/>
      <c r="AY108" s="62"/>
      <c r="AZ108" s="63"/>
    </row>
    <row r="109" spans="8:52" ht="26.25" customHeight="1" x14ac:dyDescent="0.25">
      <c r="H109" s="70"/>
      <c r="I109" s="61">
        <f>IF(ISERR(I76*#REF!),0,I76*#REF!)</f>
        <v>0</v>
      </c>
      <c r="J109" s="62"/>
      <c r="K109" s="62"/>
      <c r="L109" s="63"/>
      <c r="M109" s="61">
        <f>IF(ISERR(M76*#REF!),0,M76*#REF!)</f>
        <v>0</v>
      </c>
      <c r="N109" s="62"/>
      <c r="O109" s="62"/>
      <c r="P109" s="63"/>
      <c r="Q109" s="61">
        <f>IF(ISERR(Q76*#REF!),0,Q76*#REF!)</f>
        <v>0</v>
      </c>
      <c r="R109" s="62"/>
      <c r="S109" s="62"/>
      <c r="T109" s="63"/>
      <c r="U109" s="61">
        <f>IF(ISERR(U76*#REF!),0,U76*#REF!)</f>
        <v>0</v>
      </c>
      <c r="V109" s="62"/>
      <c r="W109" s="62"/>
      <c r="X109" s="63"/>
      <c r="Y109" s="61">
        <f>IF(ISERR(Y76*#REF!),0,Y76*#REF!)</f>
        <v>0</v>
      </c>
      <c r="Z109" s="62"/>
      <c r="AA109" s="62"/>
      <c r="AB109" s="63"/>
      <c r="AC109" s="61">
        <f>IF(ISERR(AC76*#REF!),0,AC76*#REF!)</f>
        <v>0</v>
      </c>
      <c r="AD109" s="62"/>
      <c r="AE109" s="62"/>
      <c r="AF109" s="63"/>
      <c r="AG109" s="61">
        <f>IF(ISERR(AG76*#REF!),0,AG76*#REF!)</f>
        <v>0</v>
      </c>
      <c r="AH109" s="62"/>
      <c r="AI109" s="62"/>
      <c r="AJ109" s="63"/>
      <c r="AK109" s="61">
        <f>IF(ISERR(AK76*#REF!),0,AK76*#REF!)</f>
        <v>0</v>
      </c>
      <c r="AL109" s="62"/>
      <c r="AM109" s="62"/>
      <c r="AN109" s="63"/>
      <c r="AO109" s="61">
        <f>IF(ISERR(AO76*#REF!),0,AO76*#REF!)</f>
        <v>0</v>
      </c>
      <c r="AP109" s="62"/>
      <c r="AQ109" s="62"/>
      <c r="AR109" s="63"/>
      <c r="AS109" s="61">
        <f>IF(ISERR(AS76*#REF!),0,AS76*#REF!)</f>
        <v>0</v>
      </c>
      <c r="AT109" s="62"/>
      <c r="AU109" s="62"/>
      <c r="AV109" s="63"/>
      <c r="AW109" s="61">
        <f>IF(ISERR(AW76*#REF!),0,AW76*#REF!)</f>
        <v>0</v>
      </c>
      <c r="AX109" s="62"/>
      <c r="AY109" s="62"/>
      <c r="AZ109" s="63"/>
    </row>
    <row r="110" spans="8:52" ht="26.25" customHeight="1" x14ac:dyDescent="0.25">
      <c r="H110" s="70"/>
      <c r="I110" s="61">
        <f>IF(ISERR(I77*#REF!),0,I77*#REF!)</f>
        <v>0</v>
      </c>
      <c r="J110" s="62"/>
      <c r="K110" s="62"/>
      <c r="L110" s="63"/>
      <c r="M110" s="61">
        <f>IF(ISERR(M77*#REF!),0,M77*#REF!)</f>
        <v>0</v>
      </c>
      <c r="N110" s="62"/>
      <c r="O110" s="62"/>
      <c r="P110" s="63"/>
      <c r="Q110" s="61">
        <f>IF(ISERR(Q77*#REF!),0,Q77*#REF!)</f>
        <v>0</v>
      </c>
      <c r="R110" s="62"/>
      <c r="S110" s="62"/>
      <c r="T110" s="63"/>
      <c r="U110" s="61">
        <f>IF(ISERR(U77*#REF!),0,U77*#REF!)</f>
        <v>0</v>
      </c>
      <c r="V110" s="62"/>
      <c r="W110" s="62"/>
      <c r="X110" s="63"/>
      <c r="Y110" s="61">
        <f>IF(ISERR(Y77*#REF!),0,Y77*#REF!)</f>
        <v>0</v>
      </c>
      <c r="Z110" s="62"/>
      <c r="AA110" s="62"/>
      <c r="AB110" s="63"/>
      <c r="AC110" s="61">
        <f>IF(ISERR(AC77*#REF!),0,AC77*#REF!)</f>
        <v>0</v>
      </c>
      <c r="AD110" s="62"/>
      <c r="AE110" s="62"/>
      <c r="AF110" s="63"/>
      <c r="AG110" s="61">
        <f>IF(ISERR(AG77*#REF!),0,AG77*#REF!)</f>
        <v>0</v>
      </c>
      <c r="AH110" s="62"/>
      <c r="AI110" s="62"/>
      <c r="AJ110" s="63"/>
      <c r="AK110" s="61">
        <f>IF(ISERR(AK77*#REF!),0,AK77*#REF!)</f>
        <v>0</v>
      </c>
      <c r="AL110" s="62"/>
      <c r="AM110" s="62"/>
      <c r="AN110" s="63"/>
      <c r="AO110" s="61">
        <f>IF(ISERR(AO77*#REF!),0,AO77*#REF!)</f>
        <v>0</v>
      </c>
      <c r="AP110" s="62"/>
      <c r="AQ110" s="62"/>
      <c r="AR110" s="63"/>
      <c r="AS110" s="61">
        <f>IF(ISERR(AS77*#REF!),0,AS77*#REF!)</f>
        <v>0</v>
      </c>
      <c r="AT110" s="62"/>
      <c r="AU110" s="62"/>
      <c r="AV110" s="63"/>
      <c r="AW110" s="61">
        <f>IF(ISERR(AW77*#REF!),0,AW77*#REF!)</f>
        <v>0</v>
      </c>
      <c r="AX110" s="62"/>
      <c r="AY110" s="62"/>
      <c r="AZ110" s="63"/>
    </row>
    <row r="111" spans="8:52" ht="26.25" customHeight="1" x14ac:dyDescent="0.25">
      <c r="H111" s="70"/>
      <c r="I111" s="64">
        <f>SUM(I95:L110)</f>
        <v>180</v>
      </c>
      <c r="J111" s="65"/>
      <c r="K111" s="65"/>
      <c r="L111" s="66"/>
      <c r="M111" s="64">
        <f t="shared" ref="M111" si="50">SUM(M95:P110)</f>
        <v>255</v>
      </c>
      <c r="N111" s="65"/>
      <c r="O111" s="65"/>
      <c r="P111" s="66"/>
      <c r="Q111" s="64">
        <f t="shared" ref="Q111" si="51">SUM(Q95:T110)</f>
        <v>215</v>
      </c>
      <c r="R111" s="65"/>
      <c r="S111" s="65"/>
      <c r="T111" s="66"/>
      <c r="U111" s="64">
        <f t="shared" ref="U111" si="52">SUM(U95:X110)</f>
        <v>185</v>
      </c>
      <c r="V111" s="65"/>
      <c r="W111" s="65"/>
      <c r="X111" s="66"/>
      <c r="Y111" s="64">
        <f t="shared" ref="Y111" si="53">SUM(Y95:AB110)</f>
        <v>495</v>
      </c>
      <c r="Z111" s="65"/>
      <c r="AA111" s="65"/>
      <c r="AB111" s="66"/>
      <c r="AC111" s="64">
        <f t="shared" ref="AC111" si="54">SUM(AC95:AF110)</f>
        <v>95</v>
      </c>
      <c r="AD111" s="65"/>
      <c r="AE111" s="65"/>
      <c r="AF111" s="66"/>
      <c r="AG111" s="64">
        <f t="shared" ref="AG111" si="55">SUM(AG95:AJ110)</f>
        <v>495</v>
      </c>
      <c r="AH111" s="65"/>
      <c r="AI111" s="65"/>
      <c r="AJ111" s="66"/>
      <c r="AK111" s="64">
        <f t="shared" ref="AK111" si="56">SUM(AK95:AN110)</f>
        <v>120</v>
      </c>
      <c r="AL111" s="65"/>
      <c r="AM111" s="65"/>
      <c r="AN111" s="66"/>
      <c r="AO111" s="64">
        <f t="shared" ref="AO111" si="57">SUM(AO95:AR110)</f>
        <v>45</v>
      </c>
      <c r="AP111" s="65"/>
      <c r="AQ111" s="65"/>
      <c r="AR111" s="66"/>
      <c r="AS111" s="64">
        <f t="shared" ref="AS111" si="58">SUM(AS95:AV110)</f>
        <v>110</v>
      </c>
      <c r="AT111" s="65"/>
      <c r="AU111" s="65"/>
      <c r="AV111" s="66"/>
      <c r="AW111" s="64">
        <f t="shared" ref="AW111" si="59">SUM(AW95:AZ110)</f>
        <v>260</v>
      </c>
      <c r="AX111" s="65"/>
      <c r="AY111" s="65"/>
      <c r="AZ111" s="66"/>
    </row>
    <row r="112" spans="8:52" ht="26.25" customHeight="1" x14ac:dyDescent="0.25">
      <c r="H112" s="71" t="str">
        <f>F56</f>
        <v>Trainers</v>
      </c>
      <c r="I112" s="58">
        <f>IF(ISERR(I62*$G43),0,I62*$G43)</f>
        <v>75</v>
      </c>
      <c r="J112" s="59"/>
      <c r="K112" s="59"/>
      <c r="L112" s="60"/>
      <c r="M112" s="58">
        <f>IF(ISERR(M62*$G43),0,M62*$G43)</f>
        <v>225</v>
      </c>
      <c r="N112" s="59"/>
      <c r="O112" s="59"/>
      <c r="P112" s="60"/>
      <c r="Q112" s="58">
        <f>IF(ISERR(Q62*$G43),0,Q62*$G43)</f>
        <v>225</v>
      </c>
      <c r="R112" s="59"/>
      <c r="S112" s="59"/>
      <c r="T112" s="60"/>
      <c r="U112" s="58">
        <f>IF(ISERR(U62*$G43),0,U62*$G43)</f>
        <v>225</v>
      </c>
      <c r="V112" s="59"/>
      <c r="W112" s="59"/>
      <c r="X112" s="60"/>
      <c r="Y112" s="58">
        <f>IF(ISERR(Y62*$G43),0,Y62*$G43)</f>
        <v>225</v>
      </c>
      <c r="Z112" s="59"/>
      <c r="AA112" s="59"/>
      <c r="AB112" s="60"/>
      <c r="AC112" s="58">
        <f>IF(ISERR(AC62*$G43),0,AC62*$G43)</f>
        <v>0</v>
      </c>
      <c r="AD112" s="59"/>
      <c r="AE112" s="59"/>
      <c r="AF112" s="60"/>
      <c r="AG112" s="58">
        <f>IF(ISERR(AG62*$G43),0,AG62*$G43)</f>
        <v>225</v>
      </c>
      <c r="AH112" s="59"/>
      <c r="AI112" s="59"/>
      <c r="AJ112" s="60"/>
      <c r="AK112" s="58">
        <f>IF(ISERR(AK62*$G43),0,AK62*$G43)</f>
        <v>0</v>
      </c>
      <c r="AL112" s="59"/>
      <c r="AM112" s="59"/>
      <c r="AN112" s="60"/>
      <c r="AO112" s="58">
        <f>IF(ISERR(AO62*$G43),0,AO62*$G43)</f>
        <v>0</v>
      </c>
      <c r="AP112" s="59"/>
      <c r="AQ112" s="59"/>
      <c r="AR112" s="60"/>
      <c r="AS112" s="58">
        <f>IF(ISERR(AS62*$G43),0,AS62*$G43)</f>
        <v>25</v>
      </c>
      <c r="AT112" s="59"/>
      <c r="AU112" s="59"/>
      <c r="AV112" s="60"/>
      <c r="AW112" s="58">
        <f>IF(ISERR(AW62*$G43),0,AW62*$G43)</f>
        <v>75</v>
      </c>
      <c r="AX112" s="59"/>
      <c r="AY112" s="59"/>
      <c r="AZ112" s="60"/>
    </row>
    <row r="113" spans="8:52" ht="26.25" customHeight="1" x14ac:dyDescent="0.25">
      <c r="H113" s="72"/>
      <c r="I113" s="58">
        <f>IF(ISERR(I63*$G44),0,I63*$G44)</f>
        <v>30</v>
      </c>
      <c r="J113" s="59"/>
      <c r="K113" s="59"/>
      <c r="L113" s="60"/>
      <c r="M113" s="58">
        <f>IF(ISERR(M63*$G44),0,M63*$G44)</f>
        <v>10</v>
      </c>
      <c r="N113" s="59"/>
      <c r="O113" s="59"/>
      <c r="P113" s="60"/>
      <c r="Q113" s="58">
        <f>IF(ISERR(Q63*$G44),0,Q63*$G44)</f>
        <v>10</v>
      </c>
      <c r="R113" s="59"/>
      <c r="S113" s="59"/>
      <c r="T113" s="60"/>
      <c r="U113" s="58">
        <f>IF(ISERR(U63*$G44),0,U63*$G44)</f>
        <v>0</v>
      </c>
      <c r="V113" s="59"/>
      <c r="W113" s="59"/>
      <c r="X113" s="60"/>
      <c r="Y113" s="58">
        <f>IF(ISERR(Y63*$G44),0,Y63*$G44)</f>
        <v>10</v>
      </c>
      <c r="Z113" s="59"/>
      <c r="AA113" s="59"/>
      <c r="AB113" s="60"/>
      <c r="AC113" s="58">
        <f>IF(ISERR(AC63*$G44),0,AC63*$G44)</f>
        <v>0</v>
      </c>
      <c r="AD113" s="59"/>
      <c r="AE113" s="59"/>
      <c r="AF113" s="60"/>
      <c r="AG113" s="58">
        <f>IF(ISERR(AG63*$G44),0,AG63*$G44)</f>
        <v>0</v>
      </c>
      <c r="AH113" s="59"/>
      <c r="AI113" s="59"/>
      <c r="AJ113" s="60"/>
      <c r="AK113" s="58">
        <f>IF(ISERR(AK63*$G44),0,AK63*$G44)</f>
        <v>10</v>
      </c>
      <c r="AL113" s="59"/>
      <c r="AM113" s="59"/>
      <c r="AN113" s="60"/>
      <c r="AO113" s="58">
        <f>IF(ISERR(AO63*$G44),0,AO63*$G44)</f>
        <v>0</v>
      </c>
      <c r="AP113" s="59"/>
      <c r="AQ113" s="59"/>
      <c r="AR113" s="60"/>
      <c r="AS113" s="58">
        <f>IF(ISERR(AS63*$G44),0,AS63*$G44)</f>
        <v>0</v>
      </c>
      <c r="AT113" s="59"/>
      <c r="AU113" s="59"/>
      <c r="AV113" s="60"/>
      <c r="AW113" s="58">
        <f>IF(ISERR(AW63*$G44),0,AW63*$G44)</f>
        <v>10</v>
      </c>
      <c r="AX113" s="59"/>
      <c r="AY113" s="59"/>
      <c r="AZ113" s="60"/>
    </row>
    <row r="114" spans="8:52" ht="26.25" customHeight="1" x14ac:dyDescent="0.25">
      <c r="H114" s="72"/>
      <c r="I114" s="58">
        <f>IF(ISERR(I64*$G45),0,I64*$G45)</f>
        <v>15</v>
      </c>
      <c r="J114" s="59"/>
      <c r="K114" s="59"/>
      <c r="L114" s="60"/>
      <c r="M114" s="58">
        <f>IF(ISERR(M64*$G45),0,M64*$G45)</f>
        <v>45</v>
      </c>
      <c r="N114" s="59"/>
      <c r="O114" s="59"/>
      <c r="P114" s="60"/>
      <c r="Q114" s="58">
        <f>IF(ISERR(Q64*$G45),0,Q64*$G45)</f>
        <v>15</v>
      </c>
      <c r="R114" s="59"/>
      <c r="S114" s="59"/>
      <c r="T114" s="60"/>
      <c r="U114" s="58">
        <f>IF(ISERR(U64*$G45),0,U64*$G45)</f>
        <v>0</v>
      </c>
      <c r="V114" s="59"/>
      <c r="W114" s="59"/>
      <c r="X114" s="60"/>
      <c r="Y114" s="58">
        <f>IF(ISERR(Y64*$G45),0,Y64*$G45)</f>
        <v>0</v>
      </c>
      <c r="Z114" s="59"/>
      <c r="AA114" s="59"/>
      <c r="AB114" s="60"/>
      <c r="AC114" s="58">
        <f>IF(ISERR(AC64*$G45),0,AC64*$G45)</f>
        <v>0</v>
      </c>
      <c r="AD114" s="59"/>
      <c r="AE114" s="59"/>
      <c r="AF114" s="60"/>
      <c r="AG114" s="58">
        <f>IF(ISERR(AG64*$G45),0,AG64*$G45)</f>
        <v>0</v>
      </c>
      <c r="AH114" s="59"/>
      <c r="AI114" s="59"/>
      <c r="AJ114" s="60"/>
      <c r="AK114" s="58">
        <f>IF(ISERR(AK64*$G45),0,AK64*$G45)</f>
        <v>0</v>
      </c>
      <c r="AL114" s="59"/>
      <c r="AM114" s="59"/>
      <c r="AN114" s="60"/>
      <c r="AO114" s="58">
        <f>IF(ISERR(AO64*$G45),0,AO64*$G45)</f>
        <v>135</v>
      </c>
      <c r="AP114" s="59"/>
      <c r="AQ114" s="59"/>
      <c r="AR114" s="60"/>
      <c r="AS114" s="58">
        <f>IF(ISERR(AS64*$G45),0,AS64*$G45)</f>
        <v>135</v>
      </c>
      <c r="AT114" s="59"/>
      <c r="AU114" s="59"/>
      <c r="AV114" s="60"/>
      <c r="AW114" s="58">
        <f>IF(ISERR(AW64*$G45),0,AW64*$G45)</f>
        <v>135</v>
      </c>
      <c r="AX114" s="59"/>
      <c r="AY114" s="59"/>
      <c r="AZ114" s="60"/>
    </row>
    <row r="115" spans="8:52" ht="26.25" customHeight="1" x14ac:dyDescent="0.25">
      <c r="H115" s="72"/>
      <c r="I115" s="58">
        <f>IF(ISERR(I65*$G46),0,I65*$G46)</f>
        <v>0</v>
      </c>
      <c r="J115" s="59"/>
      <c r="K115" s="59"/>
      <c r="L115" s="60"/>
      <c r="M115" s="58">
        <f>IF(ISERR(M65*$G46),0,M65*$G46)</f>
        <v>0</v>
      </c>
      <c r="N115" s="59"/>
      <c r="O115" s="59"/>
      <c r="P115" s="60"/>
      <c r="Q115" s="58">
        <f>IF(ISERR(Q65*$G46),0,Q65*$G46)</f>
        <v>0</v>
      </c>
      <c r="R115" s="59"/>
      <c r="S115" s="59"/>
      <c r="T115" s="60"/>
      <c r="U115" s="58">
        <f>IF(ISERR(U65*$G46),0,U65*$G46)</f>
        <v>0</v>
      </c>
      <c r="V115" s="59"/>
      <c r="W115" s="59"/>
      <c r="X115" s="60"/>
      <c r="Y115" s="58">
        <f>IF(ISERR(Y65*$G46),0,Y65*$G46)</f>
        <v>0</v>
      </c>
      <c r="Z115" s="59"/>
      <c r="AA115" s="59"/>
      <c r="AB115" s="60"/>
      <c r="AC115" s="58">
        <f>IF(ISERR(AC65*$G46),0,AC65*$G46)</f>
        <v>0</v>
      </c>
      <c r="AD115" s="59"/>
      <c r="AE115" s="59"/>
      <c r="AF115" s="60"/>
      <c r="AG115" s="58">
        <f>IF(ISERR(AG65*$G46),0,AG65*$G46)</f>
        <v>135</v>
      </c>
      <c r="AH115" s="59"/>
      <c r="AI115" s="59"/>
      <c r="AJ115" s="60"/>
      <c r="AK115" s="58">
        <f>IF(ISERR(AK65*$G46),0,AK65*$G46)</f>
        <v>0</v>
      </c>
      <c r="AL115" s="59"/>
      <c r="AM115" s="59"/>
      <c r="AN115" s="60"/>
      <c r="AO115" s="58">
        <f>IF(ISERR(AO65*$G46),0,AO65*$G46)</f>
        <v>0</v>
      </c>
      <c r="AP115" s="59"/>
      <c r="AQ115" s="59"/>
      <c r="AR115" s="60"/>
      <c r="AS115" s="58">
        <f>IF(ISERR(AS65*$G46),0,AS65*$G46)</f>
        <v>0</v>
      </c>
      <c r="AT115" s="59"/>
      <c r="AU115" s="59"/>
      <c r="AV115" s="60"/>
      <c r="AW115" s="58">
        <f>IF(ISERR(AW65*$G46),0,AW65*$G46)</f>
        <v>0</v>
      </c>
      <c r="AX115" s="59"/>
      <c r="AY115" s="59"/>
      <c r="AZ115" s="60"/>
    </row>
    <row r="116" spans="8:52" ht="26.25" customHeight="1" x14ac:dyDescent="0.25">
      <c r="H116" s="72"/>
      <c r="I116" s="58">
        <f>IF(ISERR(I66*$G47),0,I66*$G47)</f>
        <v>30</v>
      </c>
      <c r="J116" s="59"/>
      <c r="K116" s="59"/>
      <c r="L116" s="60"/>
      <c r="M116" s="58">
        <f>IF(ISERR(M66*$G47),0,M66*$G47)</f>
        <v>90</v>
      </c>
      <c r="N116" s="59"/>
      <c r="O116" s="59"/>
      <c r="P116" s="60"/>
      <c r="Q116" s="58">
        <f>IF(ISERR(Q66*$G47),0,Q66*$G47)</f>
        <v>30</v>
      </c>
      <c r="R116" s="59"/>
      <c r="S116" s="59"/>
      <c r="T116" s="60"/>
      <c r="U116" s="58">
        <f>IF(ISERR(U66*$G47),0,U66*$G47)</f>
        <v>10</v>
      </c>
      <c r="V116" s="59"/>
      <c r="W116" s="59"/>
      <c r="X116" s="60"/>
      <c r="Y116" s="58">
        <f>IF(ISERR(Y66*$G47),0,Y66*$G47)</f>
        <v>90</v>
      </c>
      <c r="Z116" s="59"/>
      <c r="AA116" s="59"/>
      <c r="AB116" s="60"/>
      <c r="AC116" s="58">
        <f>IF(ISERR(AC66*$G47),0,AC66*$G47)</f>
        <v>10</v>
      </c>
      <c r="AD116" s="59"/>
      <c r="AE116" s="59"/>
      <c r="AF116" s="60"/>
      <c r="AG116" s="58">
        <f>IF(ISERR(AG66*$G47),0,AG66*$G47)</f>
        <v>90</v>
      </c>
      <c r="AH116" s="59"/>
      <c r="AI116" s="59"/>
      <c r="AJ116" s="60"/>
      <c r="AK116" s="58">
        <f>IF(ISERR(AK66*$G47),0,AK66*$G47)</f>
        <v>30</v>
      </c>
      <c r="AL116" s="59"/>
      <c r="AM116" s="59"/>
      <c r="AN116" s="60"/>
      <c r="AO116" s="58">
        <f>IF(ISERR(AO66*$G47),0,AO66*$G47)</f>
        <v>0</v>
      </c>
      <c r="AP116" s="59"/>
      <c r="AQ116" s="59"/>
      <c r="AR116" s="60"/>
      <c r="AS116" s="58">
        <f>IF(ISERR(AS66*$G47),0,AS66*$G47)</f>
        <v>0</v>
      </c>
      <c r="AT116" s="59"/>
      <c r="AU116" s="59"/>
      <c r="AV116" s="60"/>
      <c r="AW116" s="58">
        <f>IF(ISERR(AW66*$G47),0,AW66*$G47)</f>
        <v>10</v>
      </c>
      <c r="AX116" s="59"/>
      <c r="AY116" s="59"/>
      <c r="AZ116" s="60"/>
    </row>
    <row r="117" spans="8:52" ht="26.25" customHeight="1" x14ac:dyDescent="0.25">
      <c r="H117" s="72"/>
      <c r="I117" s="58">
        <f>IF(ISERR(I67*$G48),0,I67*$G48)</f>
        <v>15</v>
      </c>
      <c r="J117" s="59"/>
      <c r="K117" s="59"/>
      <c r="L117" s="60"/>
      <c r="M117" s="58">
        <f>IF(ISERR(M67*$G48),0,M67*$G48)</f>
        <v>0</v>
      </c>
      <c r="N117" s="59"/>
      <c r="O117" s="59"/>
      <c r="P117" s="60"/>
      <c r="Q117" s="58">
        <f>IF(ISERR(Q67*$G48),0,Q67*$G48)</f>
        <v>0</v>
      </c>
      <c r="R117" s="59"/>
      <c r="S117" s="59"/>
      <c r="T117" s="60"/>
      <c r="U117" s="58">
        <f>IF(ISERR(U67*$G48),0,U67*$G48)</f>
        <v>0</v>
      </c>
      <c r="V117" s="59"/>
      <c r="W117" s="59"/>
      <c r="X117" s="60"/>
      <c r="Y117" s="58">
        <f>IF(ISERR(Y67*$G48),0,Y67*$G48)</f>
        <v>15</v>
      </c>
      <c r="Z117" s="59"/>
      <c r="AA117" s="59"/>
      <c r="AB117" s="60"/>
      <c r="AC117" s="58">
        <f>IF(ISERR(AC67*$G48),0,AC67*$G48)</f>
        <v>0</v>
      </c>
      <c r="AD117" s="59"/>
      <c r="AE117" s="59"/>
      <c r="AF117" s="60"/>
      <c r="AG117" s="58">
        <f>IF(ISERR(AG67*$G48),0,AG67*$G48)</f>
        <v>0</v>
      </c>
      <c r="AH117" s="59"/>
      <c r="AI117" s="59"/>
      <c r="AJ117" s="60"/>
      <c r="AK117" s="58">
        <f>IF(ISERR(AK67*$G48),0,AK67*$G48)</f>
        <v>0</v>
      </c>
      <c r="AL117" s="59"/>
      <c r="AM117" s="59"/>
      <c r="AN117" s="60"/>
      <c r="AO117" s="58">
        <f>IF(ISERR(AO67*$G48),0,AO67*$G48)</f>
        <v>0</v>
      </c>
      <c r="AP117" s="59"/>
      <c r="AQ117" s="59"/>
      <c r="AR117" s="60"/>
      <c r="AS117" s="58">
        <f>IF(ISERR(AS67*$G48),0,AS67*$G48)</f>
        <v>0</v>
      </c>
      <c r="AT117" s="59"/>
      <c r="AU117" s="59"/>
      <c r="AV117" s="60"/>
      <c r="AW117" s="58">
        <f>IF(ISERR(AW67*$G48),0,AW67*$G48)</f>
        <v>45</v>
      </c>
      <c r="AX117" s="59"/>
      <c r="AY117" s="59"/>
      <c r="AZ117" s="60"/>
    </row>
    <row r="118" spans="8:52" ht="26.25" customHeight="1" x14ac:dyDescent="0.25">
      <c r="H118" s="72"/>
      <c r="I118" s="58">
        <f>IF(ISERR(I68*$G49),0,I68*$G49)</f>
        <v>0</v>
      </c>
      <c r="J118" s="59"/>
      <c r="K118" s="59"/>
      <c r="L118" s="60"/>
      <c r="M118" s="58">
        <f>IF(ISERR(M68*$G49),0,M68*$G49)</f>
        <v>0</v>
      </c>
      <c r="N118" s="59"/>
      <c r="O118" s="59"/>
      <c r="P118" s="60"/>
      <c r="Q118" s="58">
        <f>IF(ISERR(Q68*$G49),0,Q68*$G49)</f>
        <v>0</v>
      </c>
      <c r="R118" s="59"/>
      <c r="S118" s="59"/>
      <c r="T118" s="60"/>
      <c r="U118" s="58">
        <f>IF(ISERR(U68*$G49),0,U68*$G49)</f>
        <v>0</v>
      </c>
      <c r="V118" s="59"/>
      <c r="W118" s="59"/>
      <c r="X118" s="60"/>
      <c r="Y118" s="58">
        <f>IF(ISERR(Y68*$G49),0,Y68*$G49)</f>
        <v>0</v>
      </c>
      <c r="Z118" s="59"/>
      <c r="AA118" s="59"/>
      <c r="AB118" s="60"/>
      <c r="AC118" s="58">
        <f>IF(ISERR(AC68*$G49),0,AC68*$G49)</f>
        <v>0</v>
      </c>
      <c r="AD118" s="59"/>
      <c r="AE118" s="59"/>
      <c r="AF118" s="60"/>
      <c r="AG118" s="58">
        <f>IF(ISERR(AG68*$G49),0,AG68*$G49)</f>
        <v>0</v>
      </c>
      <c r="AH118" s="59"/>
      <c r="AI118" s="59"/>
      <c r="AJ118" s="60"/>
      <c r="AK118" s="58">
        <f>IF(ISERR(AK68*$G49),0,AK68*$G49)</f>
        <v>0</v>
      </c>
      <c r="AL118" s="59"/>
      <c r="AM118" s="59"/>
      <c r="AN118" s="60"/>
      <c r="AO118" s="58">
        <f>IF(ISERR(AO68*$G49),0,AO68*$G49)</f>
        <v>0</v>
      </c>
      <c r="AP118" s="59"/>
      <c r="AQ118" s="59"/>
      <c r="AR118" s="60"/>
      <c r="AS118" s="58">
        <f>IF(ISERR(AS68*$G49),0,AS68*$G49)</f>
        <v>45</v>
      </c>
      <c r="AT118" s="59"/>
      <c r="AU118" s="59"/>
      <c r="AV118" s="60"/>
      <c r="AW118" s="58">
        <f>IF(ISERR(AW68*$G49),0,AW68*$G49)</f>
        <v>45</v>
      </c>
      <c r="AX118" s="59"/>
      <c r="AY118" s="59"/>
      <c r="AZ118" s="60"/>
    </row>
    <row r="119" spans="8:52" ht="26.25" customHeight="1" x14ac:dyDescent="0.25">
      <c r="H119" s="72"/>
      <c r="I119" s="58">
        <f>IF(ISERR(I69*$G50),0,I69*$G50)</f>
        <v>5</v>
      </c>
      <c r="J119" s="59"/>
      <c r="K119" s="59"/>
      <c r="L119" s="60"/>
      <c r="M119" s="58">
        <f>IF(ISERR(M69*$G50),0,M69*$G50)</f>
        <v>0</v>
      </c>
      <c r="N119" s="59"/>
      <c r="O119" s="59"/>
      <c r="P119" s="60"/>
      <c r="Q119" s="58">
        <f>IF(ISERR(Q69*$G50),0,Q69*$G50)</f>
        <v>0</v>
      </c>
      <c r="R119" s="59"/>
      <c r="S119" s="59"/>
      <c r="T119" s="60"/>
      <c r="U119" s="58">
        <f>IF(ISERR(U69*$G50),0,U69*$G50)</f>
        <v>0</v>
      </c>
      <c r="V119" s="59"/>
      <c r="W119" s="59"/>
      <c r="X119" s="60"/>
      <c r="Y119" s="58">
        <f>IF(ISERR(Y69*$G50),0,Y69*$G50)</f>
        <v>45</v>
      </c>
      <c r="Z119" s="59"/>
      <c r="AA119" s="59"/>
      <c r="AB119" s="60"/>
      <c r="AC119" s="58">
        <f>IF(ISERR(AC69*$G50),0,AC69*$G50)</f>
        <v>0</v>
      </c>
      <c r="AD119" s="59"/>
      <c r="AE119" s="59"/>
      <c r="AF119" s="60"/>
      <c r="AG119" s="58">
        <f>IF(ISERR(AG69*$G50),0,AG69*$G50)</f>
        <v>45</v>
      </c>
      <c r="AH119" s="59"/>
      <c r="AI119" s="59"/>
      <c r="AJ119" s="60"/>
      <c r="AK119" s="58">
        <f>IF(ISERR(AK69*$G50),0,AK69*$G50)</f>
        <v>0</v>
      </c>
      <c r="AL119" s="59"/>
      <c r="AM119" s="59"/>
      <c r="AN119" s="60"/>
      <c r="AO119" s="58">
        <f>IF(ISERR(AO69*$G50),0,AO69*$G50)</f>
        <v>0</v>
      </c>
      <c r="AP119" s="59"/>
      <c r="AQ119" s="59"/>
      <c r="AR119" s="60"/>
      <c r="AS119" s="58">
        <f>IF(ISERR(AS69*$G50),0,AS69*$G50)</f>
        <v>0</v>
      </c>
      <c r="AT119" s="59"/>
      <c r="AU119" s="59"/>
      <c r="AV119" s="60"/>
      <c r="AW119" s="58">
        <f>IF(ISERR(AW69*$G50),0,AW69*$G50)</f>
        <v>0</v>
      </c>
      <c r="AX119" s="59"/>
      <c r="AY119" s="59"/>
      <c r="AZ119" s="60"/>
    </row>
    <row r="120" spans="8:52" ht="26.25" customHeight="1" x14ac:dyDescent="0.25">
      <c r="H120" s="72"/>
      <c r="I120" s="58">
        <f>IF(ISERR(I70*$G51),0,I70*$G51)</f>
        <v>10</v>
      </c>
      <c r="J120" s="59"/>
      <c r="K120" s="59"/>
      <c r="L120" s="60"/>
      <c r="M120" s="58">
        <f>IF(ISERR(M70*$G51),0,M70*$G51)</f>
        <v>0</v>
      </c>
      <c r="N120" s="59"/>
      <c r="O120" s="59"/>
      <c r="P120" s="60"/>
      <c r="Q120" s="58">
        <f>IF(ISERR(Q70*$G51),0,Q70*$G51)</f>
        <v>0</v>
      </c>
      <c r="R120" s="59"/>
      <c r="S120" s="59"/>
      <c r="T120" s="60"/>
      <c r="U120" s="58">
        <f>IF(ISERR(U70*$G51),0,U70*$G51)</f>
        <v>0</v>
      </c>
      <c r="V120" s="59"/>
      <c r="W120" s="59"/>
      <c r="X120" s="60"/>
      <c r="Y120" s="58">
        <f>IF(ISERR(Y70*$G51),0,Y70*$G51)</f>
        <v>90</v>
      </c>
      <c r="Z120" s="59"/>
      <c r="AA120" s="59"/>
      <c r="AB120" s="60"/>
      <c r="AC120" s="58">
        <f>IF(ISERR(AC70*$G51),0,AC70*$G51)</f>
        <v>90</v>
      </c>
      <c r="AD120" s="59"/>
      <c r="AE120" s="59"/>
      <c r="AF120" s="60"/>
      <c r="AG120" s="58">
        <f>IF(ISERR(AG70*$G51),0,AG70*$G51)</f>
        <v>0</v>
      </c>
      <c r="AH120" s="59"/>
      <c r="AI120" s="59"/>
      <c r="AJ120" s="60"/>
      <c r="AK120" s="58">
        <f>IF(ISERR(AK70*$G51),0,AK70*$G51)</f>
        <v>90</v>
      </c>
      <c r="AL120" s="59"/>
      <c r="AM120" s="59"/>
      <c r="AN120" s="60"/>
      <c r="AO120" s="58">
        <f>IF(ISERR(AO70*$G51),0,AO70*$G51)</f>
        <v>0</v>
      </c>
      <c r="AP120" s="59"/>
      <c r="AQ120" s="59"/>
      <c r="AR120" s="60"/>
      <c r="AS120" s="58">
        <f>IF(ISERR(AS70*$G51),0,AS70*$G51)</f>
        <v>0</v>
      </c>
      <c r="AT120" s="59"/>
      <c r="AU120" s="59"/>
      <c r="AV120" s="60"/>
      <c r="AW120" s="58">
        <f>IF(ISERR(AW70*$G51),0,AW70*$G51)</f>
        <v>0</v>
      </c>
      <c r="AX120" s="59"/>
      <c r="AY120" s="59"/>
      <c r="AZ120" s="60"/>
    </row>
    <row r="121" spans="8:52" ht="26.25" customHeight="1" x14ac:dyDescent="0.25">
      <c r="H121" s="72"/>
      <c r="I121" s="58">
        <f>IF(ISERR(I71*#REF!),0,I71*#REF!)</f>
        <v>0</v>
      </c>
      <c r="J121" s="59"/>
      <c r="K121" s="59"/>
      <c r="L121" s="60"/>
      <c r="M121" s="58">
        <f>IF(ISERR(M71*#REF!),0,M71*#REF!)</f>
        <v>0</v>
      </c>
      <c r="N121" s="59"/>
      <c r="O121" s="59"/>
      <c r="P121" s="60"/>
      <c r="Q121" s="58">
        <f>IF(ISERR(Q71*#REF!),0,Q71*#REF!)</f>
        <v>0</v>
      </c>
      <c r="R121" s="59"/>
      <c r="S121" s="59"/>
      <c r="T121" s="60"/>
      <c r="U121" s="58">
        <f>IF(ISERR(U71*#REF!),0,U71*#REF!)</f>
        <v>0</v>
      </c>
      <c r="V121" s="59"/>
      <c r="W121" s="59"/>
      <c r="X121" s="60"/>
      <c r="Y121" s="58">
        <f>IF(ISERR(Y71*#REF!),0,Y71*#REF!)</f>
        <v>0</v>
      </c>
      <c r="Z121" s="59"/>
      <c r="AA121" s="59"/>
      <c r="AB121" s="60"/>
      <c r="AC121" s="58">
        <f>IF(ISERR(AC71*#REF!),0,AC71*#REF!)</f>
        <v>0</v>
      </c>
      <c r="AD121" s="59"/>
      <c r="AE121" s="59"/>
      <c r="AF121" s="60"/>
      <c r="AG121" s="58">
        <f>IF(ISERR(AG71*#REF!),0,AG71*#REF!)</f>
        <v>0</v>
      </c>
      <c r="AH121" s="59"/>
      <c r="AI121" s="59"/>
      <c r="AJ121" s="60"/>
      <c r="AK121" s="58">
        <f>IF(ISERR(AK71*#REF!),0,AK71*#REF!)</f>
        <v>0</v>
      </c>
      <c r="AL121" s="59"/>
      <c r="AM121" s="59"/>
      <c r="AN121" s="60"/>
      <c r="AO121" s="58">
        <f>IF(ISERR(AO71*#REF!),0,AO71*#REF!)</f>
        <v>0</v>
      </c>
      <c r="AP121" s="59"/>
      <c r="AQ121" s="59"/>
      <c r="AR121" s="60"/>
      <c r="AS121" s="58">
        <f>IF(ISERR(AS71*#REF!),0,AS71*#REF!)</f>
        <v>0</v>
      </c>
      <c r="AT121" s="59"/>
      <c r="AU121" s="59"/>
      <c r="AV121" s="60"/>
      <c r="AW121" s="58">
        <f>IF(ISERR(AW71*#REF!),0,AW71*#REF!)</f>
        <v>0</v>
      </c>
      <c r="AX121" s="59"/>
      <c r="AY121" s="59"/>
      <c r="AZ121" s="60"/>
    </row>
    <row r="122" spans="8:52" ht="26.25" customHeight="1" x14ac:dyDescent="0.25">
      <c r="H122" s="72"/>
      <c r="I122" s="58">
        <f>IF(ISERR(I72*#REF!),0,I72*#REF!)</f>
        <v>0</v>
      </c>
      <c r="J122" s="59"/>
      <c r="K122" s="59"/>
      <c r="L122" s="60"/>
      <c r="M122" s="58">
        <f>IF(ISERR(M72*#REF!),0,M72*#REF!)</f>
        <v>0</v>
      </c>
      <c r="N122" s="59"/>
      <c r="O122" s="59"/>
      <c r="P122" s="60"/>
      <c r="Q122" s="58">
        <f>IF(ISERR(Q72*#REF!),0,Q72*#REF!)</f>
        <v>0</v>
      </c>
      <c r="R122" s="59"/>
      <c r="S122" s="59"/>
      <c r="T122" s="60"/>
      <c r="U122" s="58">
        <f>IF(ISERR(U72*#REF!),0,U72*#REF!)</f>
        <v>0</v>
      </c>
      <c r="V122" s="59"/>
      <c r="W122" s="59"/>
      <c r="X122" s="60"/>
      <c r="Y122" s="58">
        <f>IF(ISERR(Y72*#REF!),0,Y72*#REF!)</f>
        <v>0</v>
      </c>
      <c r="Z122" s="59"/>
      <c r="AA122" s="59"/>
      <c r="AB122" s="60"/>
      <c r="AC122" s="58">
        <f>IF(ISERR(AC72*#REF!),0,AC72*#REF!)</f>
        <v>0</v>
      </c>
      <c r="AD122" s="59"/>
      <c r="AE122" s="59"/>
      <c r="AF122" s="60"/>
      <c r="AG122" s="58">
        <f>IF(ISERR(AG72*#REF!),0,AG72*#REF!)</f>
        <v>0</v>
      </c>
      <c r="AH122" s="59"/>
      <c r="AI122" s="59"/>
      <c r="AJ122" s="60"/>
      <c r="AK122" s="58">
        <f>IF(ISERR(AK72*#REF!),0,AK72*#REF!)</f>
        <v>0</v>
      </c>
      <c r="AL122" s="59"/>
      <c r="AM122" s="59"/>
      <c r="AN122" s="60"/>
      <c r="AO122" s="58">
        <f>IF(ISERR(AO72*#REF!),0,AO72*#REF!)</f>
        <v>0</v>
      </c>
      <c r="AP122" s="59"/>
      <c r="AQ122" s="59"/>
      <c r="AR122" s="60"/>
      <c r="AS122" s="58">
        <f>IF(ISERR(AS72*#REF!),0,AS72*#REF!)</f>
        <v>0</v>
      </c>
      <c r="AT122" s="59"/>
      <c r="AU122" s="59"/>
      <c r="AV122" s="60"/>
      <c r="AW122" s="58">
        <f>IF(ISERR(AW72*#REF!),0,AW72*#REF!)</f>
        <v>0</v>
      </c>
      <c r="AX122" s="59"/>
      <c r="AY122" s="59"/>
      <c r="AZ122" s="60"/>
    </row>
    <row r="123" spans="8:52" ht="26.25" customHeight="1" x14ac:dyDescent="0.25">
      <c r="H123" s="72"/>
      <c r="I123" s="58">
        <f>IF(ISERR(I73*#REF!),0,I73*#REF!)</f>
        <v>0</v>
      </c>
      <c r="J123" s="59"/>
      <c r="K123" s="59"/>
      <c r="L123" s="60"/>
      <c r="M123" s="58">
        <f>IF(ISERR(M73*#REF!),0,M73*#REF!)</f>
        <v>0</v>
      </c>
      <c r="N123" s="59"/>
      <c r="O123" s="59"/>
      <c r="P123" s="60"/>
      <c r="Q123" s="58">
        <f>IF(ISERR(Q73*#REF!),0,Q73*#REF!)</f>
        <v>0</v>
      </c>
      <c r="R123" s="59"/>
      <c r="S123" s="59"/>
      <c r="T123" s="60"/>
      <c r="U123" s="58">
        <f>IF(ISERR(U73*#REF!),0,U73*#REF!)</f>
        <v>0</v>
      </c>
      <c r="V123" s="59"/>
      <c r="W123" s="59"/>
      <c r="X123" s="60"/>
      <c r="Y123" s="58">
        <f>IF(ISERR(Y73*#REF!),0,Y73*#REF!)</f>
        <v>0</v>
      </c>
      <c r="Z123" s="59"/>
      <c r="AA123" s="59"/>
      <c r="AB123" s="60"/>
      <c r="AC123" s="58">
        <f>IF(ISERR(AC73*#REF!),0,AC73*#REF!)</f>
        <v>0</v>
      </c>
      <c r="AD123" s="59"/>
      <c r="AE123" s="59"/>
      <c r="AF123" s="60"/>
      <c r="AG123" s="58">
        <f>IF(ISERR(AG73*#REF!),0,AG73*#REF!)</f>
        <v>0</v>
      </c>
      <c r="AH123" s="59"/>
      <c r="AI123" s="59"/>
      <c r="AJ123" s="60"/>
      <c r="AK123" s="58">
        <f>IF(ISERR(AK73*#REF!),0,AK73*#REF!)</f>
        <v>0</v>
      </c>
      <c r="AL123" s="59"/>
      <c r="AM123" s="59"/>
      <c r="AN123" s="60"/>
      <c r="AO123" s="58">
        <f>IF(ISERR(AO73*#REF!),0,AO73*#REF!)</f>
        <v>0</v>
      </c>
      <c r="AP123" s="59"/>
      <c r="AQ123" s="59"/>
      <c r="AR123" s="60"/>
      <c r="AS123" s="58">
        <f>IF(ISERR(AS73*#REF!),0,AS73*#REF!)</f>
        <v>0</v>
      </c>
      <c r="AT123" s="59"/>
      <c r="AU123" s="59"/>
      <c r="AV123" s="60"/>
      <c r="AW123" s="58">
        <f>IF(ISERR(AW73*#REF!),0,AW73*#REF!)</f>
        <v>0</v>
      </c>
      <c r="AX123" s="59"/>
      <c r="AY123" s="59"/>
      <c r="AZ123" s="60"/>
    </row>
    <row r="124" spans="8:52" ht="26.25" customHeight="1" x14ac:dyDescent="0.25">
      <c r="H124" s="72"/>
      <c r="I124" s="58">
        <f>IF(ISERR(I74*#REF!),0,I74*#REF!)</f>
        <v>0</v>
      </c>
      <c r="J124" s="59"/>
      <c r="K124" s="59"/>
      <c r="L124" s="60"/>
      <c r="M124" s="58">
        <f>IF(ISERR(M74*#REF!),0,M74*#REF!)</f>
        <v>0</v>
      </c>
      <c r="N124" s="59"/>
      <c r="O124" s="59"/>
      <c r="P124" s="60"/>
      <c r="Q124" s="58">
        <f>IF(ISERR(Q74*#REF!),0,Q74*#REF!)</f>
        <v>0</v>
      </c>
      <c r="R124" s="59"/>
      <c r="S124" s="59"/>
      <c r="T124" s="60"/>
      <c r="U124" s="58">
        <f>IF(ISERR(U74*#REF!),0,U74*#REF!)</f>
        <v>0</v>
      </c>
      <c r="V124" s="59"/>
      <c r="W124" s="59"/>
      <c r="X124" s="60"/>
      <c r="Y124" s="58">
        <f>IF(ISERR(Y74*#REF!),0,Y74*#REF!)</f>
        <v>0</v>
      </c>
      <c r="Z124" s="59"/>
      <c r="AA124" s="59"/>
      <c r="AB124" s="60"/>
      <c r="AC124" s="58">
        <f>IF(ISERR(AC74*#REF!),0,AC74*#REF!)</f>
        <v>0</v>
      </c>
      <c r="AD124" s="59"/>
      <c r="AE124" s="59"/>
      <c r="AF124" s="60"/>
      <c r="AG124" s="58">
        <f>IF(ISERR(AG74*#REF!),0,AG74*#REF!)</f>
        <v>0</v>
      </c>
      <c r="AH124" s="59"/>
      <c r="AI124" s="59"/>
      <c r="AJ124" s="60"/>
      <c r="AK124" s="58">
        <f>IF(ISERR(AK74*#REF!),0,AK74*#REF!)</f>
        <v>0</v>
      </c>
      <c r="AL124" s="59"/>
      <c r="AM124" s="59"/>
      <c r="AN124" s="60"/>
      <c r="AO124" s="58">
        <f>IF(ISERR(AO74*#REF!),0,AO74*#REF!)</f>
        <v>0</v>
      </c>
      <c r="AP124" s="59"/>
      <c r="AQ124" s="59"/>
      <c r="AR124" s="60"/>
      <c r="AS124" s="58">
        <f>IF(ISERR(AS74*#REF!),0,AS74*#REF!)</f>
        <v>0</v>
      </c>
      <c r="AT124" s="59"/>
      <c r="AU124" s="59"/>
      <c r="AV124" s="60"/>
      <c r="AW124" s="58">
        <f>IF(ISERR(AW74*#REF!),0,AW74*#REF!)</f>
        <v>0</v>
      </c>
      <c r="AX124" s="59"/>
      <c r="AY124" s="59"/>
      <c r="AZ124" s="60"/>
    </row>
    <row r="125" spans="8:52" ht="26.25" customHeight="1" x14ac:dyDescent="0.25">
      <c r="H125" s="72"/>
      <c r="I125" s="58">
        <f>IF(ISERR(I75*#REF!),0,I75*#REF!)</f>
        <v>0</v>
      </c>
      <c r="J125" s="59"/>
      <c r="K125" s="59"/>
      <c r="L125" s="60"/>
      <c r="M125" s="58">
        <f>IF(ISERR(M75*#REF!),0,M75*#REF!)</f>
        <v>0</v>
      </c>
      <c r="N125" s="59"/>
      <c r="O125" s="59"/>
      <c r="P125" s="60"/>
      <c r="Q125" s="58">
        <f>IF(ISERR(Q75*#REF!),0,Q75*#REF!)</f>
        <v>0</v>
      </c>
      <c r="R125" s="59"/>
      <c r="S125" s="59"/>
      <c r="T125" s="60"/>
      <c r="U125" s="58">
        <f>IF(ISERR(U75*#REF!),0,U75*#REF!)</f>
        <v>0</v>
      </c>
      <c r="V125" s="59"/>
      <c r="W125" s="59"/>
      <c r="X125" s="60"/>
      <c r="Y125" s="58">
        <f>IF(ISERR(Y75*#REF!),0,Y75*#REF!)</f>
        <v>0</v>
      </c>
      <c r="Z125" s="59"/>
      <c r="AA125" s="59"/>
      <c r="AB125" s="60"/>
      <c r="AC125" s="58">
        <f>IF(ISERR(AC75*#REF!),0,AC75*#REF!)</f>
        <v>0</v>
      </c>
      <c r="AD125" s="59"/>
      <c r="AE125" s="59"/>
      <c r="AF125" s="60"/>
      <c r="AG125" s="58">
        <f>IF(ISERR(AG75*#REF!),0,AG75*#REF!)</f>
        <v>0</v>
      </c>
      <c r="AH125" s="59"/>
      <c r="AI125" s="59"/>
      <c r="AJ125" s="60"/>
      <c r="AK125" s="58">
        <f>IF(ISERR(AK75*#REF!),0,AK75*#REF!)</f>
        <v>0</v>
      </c>
      <c r="AL125" s="59"/>
      <c r="AM125" s="59"/>
      <c r="AN125" s="60"/>
      <c r="AO125" s="58">
        <f>IF(ISERR(AO75*#REF!),0,AO75*#REF!)</f>
        <v>0</v>
      </c>
      <c r="AP125" s="59"/>
      <c r="AQ125" s="59"/>
      <c r="AR125" s="60"/>
      <c r="AS125" s="58">
        <f>IF(ISERR(AS75*#REF!),0,AS75*#REF!)</f>
        <v>0</v>
      </c>
      <c r="AT125" s="59"/>
      <c r="AU125" s="59"/>
      <c r="AV125" s="60"/>
      <c r="AW125" s="58">
        <f>IF(ISERR(AW75*#REF!),0,AW75*#REF!)</f>
        <v>0</v>
      </c>
      <c r="AX125" s="59"/>
      <c r="AY125" s="59"/>
      <c r="AZ125" s="60"/>
    </row>
    <row r="126" spans="8:52" ht="26.25" customHeight="1" x14ac:dyDescent="0.25">
      <c r="H126" s="72"/>
      <c r="I126" s="58">
        <f>IF(ISERR(I76*#REF!),0,I76*#REF!)</f>
        <v>0</v>
      </c>
      <c r="J126" s="59"/>
      <c r="K126" s="59"/>
      <c r="L126" s="60"/>
      <c r="M126" s="58">
        <f>IF(ISERR(M76*#REF!),0,M76*#REF!)</f>
        <v>0</v>
      </c>
      <c r="N126" s="59"/>
      <c r="O126" s="59"/>
      <c r="P126" s="60"/>
      <c r="Q126" s="58">
        <f>IF(ISERR(Q76*#REF!),0,Q76*#REF!)</f>
        <v>0</v>
      </c>
      <c r="R126" s="59"/>
      <c r="S126" s="59"/>
      <c r="T126" s="60"/>
      <c r="U126" s="58">
        <f>IF(ISERR(U76*#REF!),0,U76*#REF!)</f>
        <v>0</v>
      </c>
      <c r="V126" s="59"/>
      <c r="W126" s="59"/>
      <c r="X126" s="60"/>
      <c r="Y126" s="58">
        <f>IF(ISERR(Y76*#REF!),0,Y76*#REF!)</f>
        <v>0</v>
      </c>
      <c r="Z126" s="59"/>
      <c r="AA126" s="59"/>
      <c r="AB126" s="60"/>
      <c r="AC126" s="58">
        <f>IF(ISERR(AC76*#REF!),0,AC76*#REF!)</f>
        <v>0</v>
      </c>
      <c r="AD126" s="59"/>
      <c r="AE126" s="59"/>
      <c r="AF126" s="60"/>
      <c r="AG126" s="58">
        <f>IF(ISERR(AG76*#REF!),0,AG76*#REF!)</f>
        <v>0</v>
      </c>
      <c r="AH126" s="59"/>
      <c r="AI126" s="59"/>
      <c r="AJ126" s="60"/>
      <c r="AK126" s="58">
        <f>IF(ISERR(AK76*#REF!),0,AK76*#REF!)</f>
        <v>0</v>
      </c>
      <c r="AL126" s="59"/>
      <c r="AM126" s="59"/>
      <c r="AN126" s="60"/>
      <c r="AO126" s="58">
        <f>IF(ISERR(AO76*#REF!),0,AO76*#REF!)</f>
        <v>0</v>
      </c>
      <c r="AP126" s="59"/>
      <c r="AQ126" s="59"/>
      <c r="AR126" s="60"/>
      <c r="AS126" s="58">
        <f>IF(ISERR(AS76*#REF!),0,AS76*#REF!)</f>
        <v>0</v>
      </c>
      <c r="AT126" s="59"/>
      <c r="AU126" s="59"/>
      <c r="AV126" s="60"/>
      <c r="AW126" s="58">
        <f>IF(ISERR(AW76*#REF!),0,AW76*#REF!)</f>
        <v>0</v>
      </c>
      <c r="AX126" s="59"/>
      <c r="AY126" s="59"/>
      <c r="AZ126" s="60"/>
    </row>
    <row r="127" spans="8:52" ht="26.25" customHeight="1" x14ac:dyDescent="0.25">
      <c r="H127" s="72"/>
      <c r="I127" s="58">
        <f>IF(ISERR(I77*#REF!),0,I77*#REF!)</f>
        <v>0</v>
      </c>
      <c r="J127" s="59"/>
      <c r="K127" s="59"/>
      <c r="L127" s="60"/>
      <c r="M127" s="58">
        <f>IF(ISERR(M77*#REF!),0,M77*#REF!)</f>
        <v>0</v>
      </c>
      <c r="N127" s="59"/>
      <c r="O127" s="59"/>
      <c r="P127" s="60"/>
      <c r="Q127" s="58">
        <f>IF(ISERR(Q77*#REF!),0,Q77*#REF!)</f>
        <v>0</v>
      </c>
      <c r="R127" s="59"/>
      <c r="S127" s="59"/>
      <c r="T127" s="60"/>
      <c r="U127" s="58">
        <f>IF(ISERR(U77*#REF!),0,U77*#REF!)</f>
        <v>0</v>
      </c>
      <c r="V127" s="59"/>
      <c r="W127" s="59"/>
      <c r="X127" s="60"/>
      <c r="Y127" s="58">
        <f>IF(ISERR(Y77*#REF!),0,Y77*#REF!)</f>
        <v>0</v>
      </c>
      <c r="Z127" s="59"/>
      <c r="AA127" s="59"/>
      <c r="AB127" s="60"/>
      <c r="AC127" s="58">
        <f>IF(ISERR(AC77*#REF!),0,AC77*#REF!)</f>
        <v>0</v>
      </c>
      <c r="AD127" s="59"/>
      <c r="AE127" s="59"/>
      <c r="AF127" s="60"/>
      <c r="AG127" s="58">
        <f>IF(ISERR(AG77*#REF!),0,AG77*#REF!)</f>
        <v>0</v>
      </c>
      <c r="AH127" s="59"/>
      <c r="AI127" s="59"/>
      <c r="AJ127" s="60"/>
      <c r="AK127" s="58">
        <f>IF(ISERR(AK77*#REF!),0,AK77*#REF!)</f>
        <v>0</v>
      </c>
      <c r="AL127" s="59"/>
      <c r="AM127" s="59"/>
      <c r="AN127" s="60"/>
      <c r="AO127" s="58">
        <f>IF(ISERR(AO77*#REF!),0,AO77*#REF!)</f>
        <v>0</v>
      </c>
      <c r="AP127" s="59"/>
      <c r="AQ127" s="59"/>
      <c r="AR127" s="60"/>
      <c r="AS127" s="58">
        <f>IF(ISERR(AS77*#REF!),0,AS77*#REF!)</f>
        <v>0</v>
      </c>
      <c r="AT127" s="59"/>
      <c r="AU127" s="59"/>
      <c r="AV127" s="60"/>
      <c r="AW127" s="58">
        <f>IF(ISERR(AW77*#REF!),0,AW77*#REF!)</f>
        <v>0</v>
      </c>
      <c r="AX127" s="59"/>
      <c r="AY127" s="59"/>
      <c r="AZ127" s="60"/>
    </row>
    <row r="128" spans="8:52" ht="26.25" customHeight="1" x14ac:dyDescent="0.25">
      <c r="H128" s="73"/>
      <c r="I128" s="64">
        <f>SUM(I112:L127)</f>
        <v>180</v>
      </c>
      <c r="J128" s="65"/>
      <c r="K128" s="65"/>
      <c r="L128" s="66"/>
      <c r="M128" s="64">
        <f t="shared" ref="M128" si="60">SUM(M112:P127)</f>
        <v>370</v>
      </c>
      <c r="N128" s="65"/>
      <c r="O128" s="65"/>
      <c r="P128" s="66"/>
      <c r="Q128" s="64">
        <f t="shared" ref="Q128" si="61">SUM(Q112:T127)</f>
        <v>280</v>
      </c>
      <c r="R128" s="65"/>
      <c r="S128" s="65"/>
      <c r="T128" s="66"/>
      <c r="U128" s="64">
        <f t="shared" ref="U128" si="62">SUM(U112:X127)</f>
        <v>235</v>
      </c>
      <c r="V128" s="65"/>
      <c r="W128" s="65"/>
      <c r="X128" s="66"/>
      <c r="Y128" s="64">
        <f t="shared" ref="Y128" si="63">SUM(Y112:AB127)</f>
        <v>475</v>
      </c>
      <c r="Z128" s="65"/>
      <c r="AA128" s="65"/>
      <c r="AB128" s="66"/>
      <c r="AC128" s="64">
        <f t="shared" ref="AC128" si="64">SUM(AC112:AF127)</f>
        <v>100</v>
      </c>
      <c r="AD128" s="65"/>
      <c r="AE128" s="65"/>
      <c r="AF128" s="66"/>
      <c r="AG128" s="64">
        <f t="shared" ref="AG128" si="65">SUM(AG112:AJ127)</f>
        <v>495</v>
      </c>
      <c r="AH128" s="65"/>
      <c r="AI128" s="65"/>
      <c r="AJ128" s="66"/>
      <c r="AK128" s="64">
        <f t="shared" ref="AK128" si="66">SUM(AK112:AN127)</f>
        <v>130</v>
      </c>
      <c r="AL128" s="65"/>
      <c r="AM128" s="65"/>
      <c r="AN128" s="66"/>
      <c r="AO128" s="64">
        <f t="shared" ref="AO128" si="67">SUM(AO112:AR127)</f>
        <v>135</v>
      </c>
      <c r="AP128" s="65"/>
      <c r="AQ128" s="65"/>
      <c r="AR128" s="66"/>
      <c r="AS128" s="64">
        <f t="shared" ref="AS128" si="68">SUM(AS112:AV127)</f>
        <v>205</v>
      </c>
      <c r="AT128" s="65"/>
      <c r="AU128" s="65"/>
      <c r="AV128" s="66"/>
      <c r="AW128" s="64">
        <f t="shared" ref="AW128" si="69">SUM(AW112:AZ127)</f>
        <v>320</v>
      </c>
      <c r="AX128" s="65"/>
      <c r="AY128" s="65"/>
      <c r="AZ128" s="66"/>
    </row>
    <row r="129" spans="8:52" ht="26.25" customHeight="1" x14ac:dyDescent="0.25">
      <c r="H129" s="74" t="str">
        <f>F57</f>
        <v>Athletes</v>
      </c>
      <c r="I129" s="61">
        <f>IF(ISERR(I62*$G43),0,I62*$G43)</f>
        <v>75</v>
      </c>
      <c r="J129" s="62"/>
      <c r="K129" s="62"/>
      <c r="L129" s="63"/>
      <c r="M129" s="61">
        <f>IF(ISERR(M62*$G43),0,M62*$G43)</f>
        <v>225</v>
      </c>
      <c r="N129" s="62"/>
      <c r="O129" s="62"/>
      <c r="P129" s="63"/>
      <c r="Q129" s="61">
        <f>IF(ISERR(Q62*$G43),0,Q62*$G43)</f>
        <v>225</v>
      </c>
      <c r="R129" s="62"/>
      <c r="S129" s="62"/>
      <c r="T129" s="63"/>
      <c r="U129" s="61">
        <f>IF(ISERR(U62*$G43),0,U62*$G43)</f>
        <v>225</v>
      </c>
      <c r="V129" s="62"/>
      <c r="W129" s="62"/>
      <c r="X129" s="63"/>
      <c r="Y129" s="61">
        <f>IF(ISERR(Y62*$G43),0,Y62*$G43)</f>
        <v>225</v>
      </c>
      <c r="Z129" s="62"/>
      <c r="AA129" s="62"/>
      <c r="AB129" s="63"/>
      <c r="AC129" s="61">
        <f>IF(ISERR(AC62*$G43),0,AC62*$G43)</f>
        <v>0</v>
      </c>
      <c r="AD129" s="62"/>
      <c r="AE129" s="62"/>
      <c r="AF129" s="63"/>
      <c r="AG129" s="61">
        <f>IF(ISERR(AG62*$G43),0,AG62*$G43)</f>
        <v>225</v>
      </c>
      <c r="AH129" s="62"/>
      <c r="AI129" s="62"/>
      <c r="AJ129" s="63"/>
      <c r="AK129" s="61">
        <f>IF(ISERR(AK62*$G43),0,AK62*$G43)</f>
        <v>0</v>
      </c>
      <c r="AL129" s="62"/>
      <c r="AM129" s="62"/>
      <c r="AN129" s="63"/>
      <c r="AO129" s="61">
        <f>IF(ISERR(AO62*$G43),0,AO62*$G43)</f>
        <v>0</v>
      </c>
      <c r="AP129" s="62"/>
      <c r="AQ129" s="62"/>
      <c r="AR129" s="63"/>
      <c r="AS129" s="61">
        <f>IF(ISERR(AS62*$G43),0,AS62*$G43)</f>
        <v>25</v>
      </c>
      <c r="AT129" s="62"/>
      <c r="AU129" s="62"/>
      <c r="AV129" s="63"/>
      <c r="AW129" s="61">
        <f>IF(ISERR(AW62*$G43),0,AW62*$G43)</f>
        <v>75</v>
      </c>
      <c r="AX129" s="62"/>
      <c r="AY129" s="62"/>
      <c r="AZ129" s="63"/>
    </row>
    <row r="130" spans="8:52" ht="26.25" customHeight="1" x14ac:dyDescent="0.25">
      <c r="H130" s="75"/>
      <c r="I130" s="61">
        <f>IF(ISERR(I63*$G44),0,I63*$G44)</f>
        <v>30</v>
      </c>
      <c r="J130" s="62"/>
      <c r="K130" s="62"/>
      <c r="L130" s="63"/>
      <c r="M130" s="61">
        <f>IF(ISERR(M63*$G44),0,M63*$G44)</f>
        <v>10</v>
      </c>
      <c r="N130" s="62"/>
      <c r="O130" s="62"/>
      <c r="P130" s="63"/>
      <c r="Q130" s="61">
        <f>IF(ISERR(Q63*$G44),0,Q63*$G44)</f>
        <v>10</v>
      </c>
      <c r="R130" s="62"/>
      <c r="S130" s="62"/>
      <c r="T130" s="63"/>
      <c r="U130" s="61">
        <f>IF(ISERR(U63*$G44),0,U63*$G44)</f>
        <v>0</v>
      </c>
      <c r="V130" s="62"/>
      <c r="W130" s="62"/>
      <c r="X130" s="63"/>
      <c r="Y130" s="61">
        <f>IF(ISERR(Y63*$G44),0,Y63*$G44)</f>
        <v>10</v>
      </c>
      <c r="Z130" s="62"/>
      <c r="AA130" s="62"/>
      <c r="AB130" s="63"/>
      <c r="AC130" s="61">
        <f>IF(ISERR(AC63*$G44),0,AC63*$G44)</f>
        <v>0</v>
      </c>
      <c r="AD130" s="62"/>
      <c r="AE130" s="62"/>
      <c r="AF130" s="63"/>
      <c r="AG130" s="61">
        <f>IF(ISERR(AG63*$G44),0,AG63*$G44)</f>
        <v>0</v>
      </c>
      <c r="AH130" s="62"/>
      <c r="AI130" s="62"/>
      <c r="AJ130" s="63"/>
      <c r="AK130" s="61">
        <f>IF(ISERR(AK63*$G44),0,AK63*$G44)</f>
        <v>10</v>
      </c>
      <c r="AL130" s="62"/>
      <c r="AM130" s="62"/>
      <c r="AN130" s="63"/>
      <c r="AO130" s="61">
        <f>IF(ISERR(AO63*$G44),0,AO63*$G44)</f>
        <v>0</v>
      </c>
      <c r="AP130" s="62"/>
      <c r="AQ130" s="62"/>
      <c r="AR130" s="63"/>
      <c r="AS130" s="61">
        <f>IF(ISERR(AS63*$G44),0,AS63*$G44)</f>
        <v>0</v>
      </c>
      <c r="AT130" s="62"/>
      <c r="AU130" s="62"/>
      <c r="AV130" s="63"/>
      <c r="AW130" s="61">
        <f>IF(ISERR(AW63*$G44),0,AW63*$G44)</f>
        <v>10</v>
      </c>
      <c r="AX130" s="62"/>
      <c r="AY130" s="62"/>
      <c r="AZ130" s="63"/>
    </row>
    <row r="131" spans="8:52" ht="26.25" customHeight="1" x14ac:dyDescent="0.25">
      <c r="H131" s="75"/>
      <c r="I131" s="61">
        <f>IF(ISERR(I64*$G45),0,I64*$G45)</f>
        <v>15</v>
      </c>
      <c r="J131" s="62"/>
      <c r="K131" s="62"/>
      <c r="L131" s="63"/>
      <c r="M131" s="61">
        <f>IF(ISERR(M64*$G45),0,M64*$G45)</f>
        <v>45</v>
      </c>
      <c r="N131" s="62"/>
      <c r="O131" s="62"/>
      <c r="P131" s="63"/>
      <c r="Q131" s="61">
        <f>IF(ISERR(Q64*$G45),0,Q64*$G45)</f>
        <v>15</v>
      </c>
      <c r="R131" s="62"/>
      <c r="S131" s="62"/>
      <c r="T131" s="63"/>
      <c r="U131" s="61">
        <f>IF(ISERR(U64*$G45),0,U64*$G45)</f>
        <v>0</v>
      </c>
      <c r="V131" s="62"/>
      <c r="W131" s="62"/>
      <c r="X131" s="63"/>
      <c r="Y131" s="61">
        <f>IF(ISERR(Y64*$G45),0,Y64*$G45)</f>
        <v>0</v>
      </c>
      <c r="Z131" s="62"/>
      <c r="AA131" s="62"/>
      <c r="AB131" s="63"/>
      <c r="AC131" s="61">
        <f>IF(ISERR(AC64*$G45),0,AC64*$G45)</f>
        <v>0</v>
      </c>
      <c r="AD131" s="62"/>
      <c r="AE131" s="62"/>
      <c r="AF131" s="63"/>
      <c r="AG131" s="61">
        <f>IF(ISERR(AG64*$G45),0,AG64*$G45)</f>
        <v>0</v>
      </c>
      <c r="AH131" s="62"/>
      <c r="AI131" s="62"/>
      <c r="AJ131" s="63"/>
      <c r="AK131" s="61">
        <f>IF(ISERR(AK64*$G45),0,AK64*$G45)</f>
        <v>0</v>
      </c>
      <c r="AL131" s="62"/>
      <c r="AM131" s="62"/>
      <c r="AN131" s="63"/>
      <c r="AO131" s="61">
        <f>IF(ISERR(AO64*$G45),0,AO64*$G45)</f>
        <v>135</v>
      </c>
      <c r="AP131" s="62"/>
      <c r="AQ131" s="62"/>
      <c r="AR131" s="63"/>
      <c r="AS131" s="61">
        <f>IF(ISERR(AS64*$G45),0,AS64*$G45)</f>
        <v>135</v>
      </c>
      <c r="AT131" s="62"/>
      <c r="AU131" s="62"/>
      <c r="AV131" s="63"/>
      <c r="AW131" s="61">
        <f>IF(ISERR(AW64*$G45),0,AW64*$G45)</f>
        <v>135</v>
      </c>
      <c r="AX131" s="62"/>
      <c r="AY131" s="62"/>
      <c r="AZ131" s="63"/>
    </row>
    <row r="132" spans="8:52" ht="26.25" customHeight="1" x14ac:dyDescent="0.25">
      <c r="H132" s="75"/>
      <c r="I132" s="61">
        <f>IF(ISERR(I65*$G46),0,I65*$G46)</f>
        <v>0</v>
      </c>
      <c r="J132" s="62"/>
      <c r="K132" s="62"/>
      <c r="L132" s="63"/>
      <c r="M132" s="61">
        <f>IF(ISERR(M65*$G46),0,M65*$G46)</f>
        <v>0</v>
      </c>
      <c r="N132" s="62"/>
      <c r="O132" s="62"/>
      <c r="P132" s="63"/>
      <c r="Q132" s="61">
        <f>IF(ISERR(Q65*$G46),0,Q65*$G46)</f>
        <v>0</v>
      </c>
      <c r="R132" s="62"/>
      <c r="S132" s="62"/>
      <c r="T132" s="63"/>
      <c r="U132" s="61">
        <f>IF(ISERR(U65*$G46),0,U65*$G46)</f>
        <v>0</v>
      </c>
      <c r="V132" s="62"/>
      <c r="W132" s="62"/>
      <c r="X132" s="63"/>
      <c r="Y132" s="61">
        <f>IF(ISERR(Y65*$G46),0,Y65*$G46)</f>
        <v>0</v>
      </c>
      <c r="Z132" s="62"/>
      <c r="AA132" s="62"/>
      <c r="AB132" s="63"/>
      <c r="AC132" s="61">
        <f>IF(ISERR(AC65*$G46),0,AC65*$G46)</f>
        <v>0</v>
      </c>
      <c r="AD132" s="62"/>
      <c r="AE132" s="62"/>
      <c r="AF132" s="63"/>
      <c r="AG132" s="61">
        <f>IF(ISERR(AG65*$G46),0,AG65*$G46)</f>
        <v>135</v>
      </c>
      <c r="AH132" s="62"/>
      <c r="AI132" s="62"/>
      <c r="AJ132" s="63"/>
      <c r="AK132" s="61">
        <f>IF(ISERR(AK65*$G46),0,AK65*$G46)</f>
        <v>0</v>
      </c>
      <c r="AL132" s="62"/>
      <c r="AM132" s="62"/>
      <c r="AN132" s="63"/>
      <c r="AO132" s="61">
        <f>IF(ISERR(AO65*$G46),0,AO65*$G46)</f>
        <v>0</v>
      </c>
      <c r="AP132" s="62"/>
      <c r="AQ132" s="62"/>
      <c r="AR132" s="63"/>
      <c r="AS132" s="61">
        <f>IF(ISERR(AS65*$G46),0,AS65*$G46)</f>
        <v>0</v>
      </c>
      <c r="AT132" s="62"/>
      <c r="AU132" s="62"/>
      <c r="AV132" s="63"/>
      <c r="AW132" s="61">
        <f>IF(ISERR(AW65*$G46),0,AW65*$G46)</f>
        <v>0</v>
      </c>
      <c r="AX132" s="62"/>
      <c r="AY132" s="62"/>
      <c r="AZ132" s="63"/>
    </row>
    <row r="133" spans="8:52" ht="26.25" customHeight="1" x14ac:dyDescent="0.25">
      <c r="H133" s="75"/>
      <c r="I133" s="61">
        <f>IF(ISERR(I66*$G47),0,I66*$G47)</f>
        <v>30</v>
      </c>
      <c r="J133" s="62"/>
      <c r="K133" s="62"/>
      <c r="L133" s="63"/>
      <c r="M133" s="61">
        <f>IF(ISERR(M66*$G47),0,M66*$G47)</f>
        <v>90</v>
      </c>
      <c r="N133" s="62"/>
      <c r="O133" s="62"/>
      <c r="P133" s="63"/>
      <c r="Q133" s="61">
        <f>IF(ISERR(Q66*$G47),0,Q66*$G47)</f>
        <v>30</v>
      </c>
      <c r="R133" s="62"/>
      <c r="S133" s="62"/>
      <c r="T133" s="63"/>
      <c r="U133" s="61">
        <f>IF(ISERR(U66*$G47),0,U66*$G47)</f>
        <v>10</v>
      </c>
      <c r="V133" s="62"/>
      <c r="W133" s="62"/>
      <c r="X133" s="63"/>
      <c r="Y133" s="61">
        <f>IF(ISERR(Y66*$G47),0,Y66*$G47)</f>
        <v>90</v>
      </c>
      <c r="Z133" s="62"/>
      <c r="AA133" s="62"/>
      <c r="AB133" s="63"/>
      <c r="AC133" s="61">
        <f>IF(ISERR(AC66*$G47),0,AC66*$G47)</f>
        <v>10</v>
      </c>
      <c r="AD133" s="62"/>
      <c r="AE133" s="62"/>
      <c r="AF133" s="63"/>
      <c r="AG133" s="61">
        <f>IF(ISERR(AG66*$G47),0,AG66*$G47)</f>
        <v>90</v>
      </c>
      <c r="AH133" s="62"/>
      <c r="AI133" s="62"/>
      <c r="AJ133" s="63"/>
      <c r="AK133" s="61">
        <f>IF(ISERR(AK66*$G47),0,AK66*$G47)</f>
        <v>30</v>
      </c>
      <c r="AL133" s="62"/>
      <c r="AM133" s="62"/>
      <c r="AN133" s="63"/>
      <c r="AO133" s="61">
        <f>IF(ISERR(AO66*$G47),0,AO66*$G47)</f>
        <v>0</v>
      </c>
      <c r="AP133" s="62"/>
      <c r="AQ133" s="62"/>
      <c r="AR133" s="63"/>
      <c r="AS133" s="61">
        <f>IF(ISERR(AS66*$G47),0,AS66*$G47)</f>
        <v>0</v>
      </c>
      <c r="AT133" s="62"/>
      <c r="AU133" s="62"/>
      <c r="AV133" s="63"/>
      <c r="AW133" s="61">
        <f>IF(ISERR(AW66*$G47),0,AW66*$G47)</f>
        <v>10</v>
      </c>
      <c r="AX133" s="62"/>
      <c r="AY133" s="62"/>
      <c r="AZ133" s="63"/>
    </row>
    <row r="134" spans="8:52" ht="26.25" customHeight="1" x14ac:dyDescent="0.25">
      <c r="H134" s="75"/>
      <c r="I134" s="61">
        <f>IF(ISERR(I67*$G48),0,I67*$G48)</f>
        <v>15</v>
      </c>
      <c r="J134" s="62"/>
      <c r="K134" s="62"/>
      <c r="L134" s="63"/>
      <c r="M134" s="61">
        <f>IF(ISERR(M67*$G48),0,M67*$G48)</f>
        <v>0</v>
      </c>
      <c r="N134" s="62"/>
      <c r="O134" s="62"/>
      <c r="P134" s="63"/>
      <c r="Q134" s="61">
        <f>IF(ISERR(Q67*$G48),0,Q67*$G48)</f>
        <v>0</v>
      </c>
      <c r="R134" s="62"/>
      <c r="S134" s="62"/>
      <c r="T134" s="63"/>
      <c r="U134" s="61">
        <f>IF(ISERR(U67*$G48),0,U67*$G48)</f>
        <v>0</v>
      </c>
      <c r="V134" s="62"/>
      <c r="W134" s="62"/>
      <c r="X134" s="63"/>
      <c r="Y134" s="61">
        <f>IF(ISERR(Y67*$G48),0,Y67*$G48)</f>
        <v>15</v>
      </c>
      <c r="Z134" s="62"/>
      <c r="AA134" s="62"/>
      <c r="AB134" s="63"/>
      <c r="AC134" s="61">
        <f>IF(ISERR(AC67*$G48),0,AC67*$G48)</f>
        <v>0</v>
      </c>
      <c r="AD134" s="62"/>
      <c r="AE134" s="62"/>
      <c r="AF134" s="63"/>
      <c r="AG134" s="61">
        <f>IF(ISERR(AG67*$G48),0,AG67*$G48)</f>
        <v>0</v>
      </c>
      <c r="AH134" s="62"/>
      <c r="AI134" s="62"/>
      <c r="AJ134" s="63"/>
      <c r="AK134" s="61">
        <f>IF(ISERR(AK67*$G48),0,AK67*$G48)</f>
        <v>0</v>
      </c>
      <c r="AL134" s="62"/>
      <c r="AM134" s="62"/>
      <c r="AN134" s="63"/>
      <c r="AO134" s="61">
        <f>IF(ISERR(AO67*$G48),0,AO67*$G48)</f>
        <v>0</v>
      </c>
      <c r="AP134" s="62"/>
      <c r="AQ134" s="62"/>
      <c r="AR134" s="63"/>
      <c r="AS134" s="61">
        <f>IF(ISERR(AS67*$G48),0,AS67*$G48)</f>
        <v>0</v>
      </c>
      <c r="AT134" s="62"/>
      <c r="AU134" s="62"/>
      <c r="AV134" s="63"/>
      <c r="AW134" s="61">
        <f>IF(ISERR(AW67*$G48),0,AW67*$G48)</f>
        <v>45</v>
      </c>
      <c r="AX134" s="62"/>
      <c r="AY134" s="62"/>
      <c r="AZ134" s="63"/>
    </row>
    <row r="135" spans="8:52" ht="26.25" customHeight="1" x14ac:dyDescent="0.25">
      <c r="H135" s="75"/>
      <c r="I135" s="61">
        <f>IF(ISERR(I68*$G49),0,I68*$G49)</f>
        <v>0</v>
      </c>
      <c r="J135" s="62"/>
      <c r="K135" s="62"/>
      <c r="L135" s="63"/>
      <c r="M135" s="61">
        <f>IF(ISERR(M68*$G49),0,M68*$G49)</f>
        <v>0</v>
      </c>
      <c r="N135" s="62"/>
      <c r="O135" s="62"/>
      <c r="P135" s="63"/>
      <c r="Q135" s="61">
        <f>IF(ISERR(Q68*$G49),0,Q68*$G49)</f>
        <v>0</v>
      </c>
      <c r="R135" s="62"/>
      <c r="S135" s="62"/>
      <c r="T135" s="63"/>
      <c r="U135" s="61">
        <f>IF(ISERR(U68*$G49),0,U68*$G49)</f>
        <v>0</v>
      </c>
      <c r="V135" s="62"/>
      <c r="W135" s="62"/>
      <c r="X135" s="63"/>
      <c r="Y135" s="61">
        <f>IF(ISERR(Y68*$G49),0,Y68*$G49)</f>
        <v>0</v>
      </c>
      <c r="Z135" s="62"/>
      <c r="AA135" s="62"/>
      <c r="AB135" s="63"/>
      <c r="AC135" s="61">
        <f>IF(ISERR(AC68*$G49),0,AC68*$G49)</f>
        <v>0</v>
      </c>
      <c r="AD135" s="62"/>
      <c r="AE135" s="62"/>
      <c r="AF135" s="63"/>
      <c r="AG135" s="61">
        <f>IF(ISERR(AG68*$G49),0,AG68*$G49)</f>
        <v>0</v>
      </c>
      <c r="AH135" s="62"/>
      <c r="AI135" s="62"/>
      <c r="AJ135" s="63"/>
      <c r="AK135" s="61">
        <f>IF(ISERR(AK68*$G49),0,AK68*$G49)</f>
        <v>0</v>
      </c>
      <c r="AL135" s="62"/>
      <c r="AM135" s="62"/>
      <c r="AN135" s="63"/>
      <c r="AO135" s="61">
        <f>IF(ISERR(AO68*$G49),0,AO68*$G49)</f>
        <v>0</v>
      </c>
      <c r="AP135" s="62"/>
      <c r="AQ135" s="62"/>
      <c r="AR135" s="63"/>
      <c r="AS135" s="61">
        <f>IF(ISERR(AS68*$G49),0,AS68*$G49)</f>
        <v>45</v>
      </c>
      <c r="AT135" s="62"/>
      <c r="AU135" s="62"/>
      <c r="AV135" s="63"/>
      <c r="AW135" s="61">
        <f>IF(ISERR(AW68*$G49),0,AW68*$G49)</f>
        <v>45</v>
      </c>
      <c r="AX135" s="62"/>
      <c r="AY135" s="62"/>
      <c r="AZ135" s="63"/>
    </row>
    <row r="136" spans="8:52" ht="26.25" customHeight="1" x14ac:dyDescent="0.25">
      <c r="H136" s="75"/>
      <c r="I136" s="61">
        <f>IF(ISERR(I69*$G50),0,I69*$G50)</f>
        <v>5</v>
      </c>
      <c r="J136" s="62"/>
      <c r="K136" s="62"/>
      <c r="L136" s="63"/>
      <c r="M136" s="61">
        <f>IF(ISERR(M69*$G50),0,M69*$G50)</f>
        <v>0</v>
      </c>
      <c r="N136" s="62"/>
      <c r="O136" s="62"/>
      <c r="P136" s="63"/>
      <c r="Q136" s="61">
        <f>IF(ISERR(Q69*$G50),0,Q69*$G50)</f>
        <v>0</v>
      </c>
      <c r="R136" s="62"/>
      <c r="S136" s="62"/>
      <c r="T136" s="63"/>
      <c r="U136" s="61">
        <f>IF(ISERR(U69*$G50),0,U69*$G50)</f>
        <v>0</v>
      </c>
      <c r="V136" s="62"/>
      <c r="W136" s="62"/>
      <c r="X136" s="63"/>
      <c r="Y136" s="61">
        <f>IF(ISERR(Y69*$G50),0,Y69*$G50)</f>
        <v>45</v>
      </c>
      <c r="Z136" s="62"/>
      <c r="AA136" s="62"/>
      <c r="AB136" s="63"/>
      <c r="AC136" s="61">
        <f>IF(ISERR(AC69*$G50),0,AC69*$G50)</f>
        <v>0</v>
      </c>
      <c r="AD136" s="62"/>
      <c r="AE136" s="62"/>
      <c r="AF136" s="63"/>
      <c r="AG136" s="61">
        <f>IF(ISERR(AG69*$G50),0,AG69*$G50)</f>
        <v>45</v>
      </c>
      <c r="AH136" s="62"/>
      <c r="AI136" s="62"/>
      <c r="AJ136" s="63"/>
      <c r="AK136" s="61">
        <f>IF(ISERR(AK69*$G50),0,AK69*$G50)</f>
        <v>0</v>
      </c>
      <c r="AL136" s="62"/>
      <c r="AM136" s="62"/>
      <c r="AN136" s="63"/>
      <c r="AO136" s="61">
        <f>IF(ISERR(AO69*$G50),0,AO69*$G50)</f>
        <v>0</v>
      </c>
      <c r="AP136" s="62"/>
      <c r="AQ136" s="62"/>
      <c r="AR136" s="63"/>
      <c r="AS136" s="61">
        <f>IF(ISERR(AS69*$G50),0,AS69*$G50)</f>
        <v>0</v>
      </c>
      <c r="AT136" s="62"/>
      <c r="AU136" s="62"/>
      <c r="AV136" s="63"/>
      <c r="AW136" s="61">
        <f>IF(ISERR(AW69*$G50),0,AW69*$G50)</f>
        <v>0</v>
      </c>
      <c r="AX136" s="62"/>
      <c r="AY136" s="62"/>
      <c r="AZ136" s="63"/>
    </row>
    <row r="137" spans="8:52" ht="26.25" customHeight="1" x14ac:dyDescent="0.25">
      <c r="H137" s="75"/>
      <c r="I137" s="61">
        <f>IF(ISERR(I70*$G51),0,I70*$G51)</f>
        <v>10</v>
      </c>
      <c r="J137" s="62"/>
      <c r="K137" s="62"/>
      <c r="L137" s="63"/>
      <c r="M137" s="61">
        <f>IF(ISERR(M70*$G51),0,M70*$G51)</f>
        <v>0</v>
      </c>
      <c r="N137" s="62"/>
      <c r="O137" s="62"/>
      <c r="P137" s="63"/>
      <c r="Q137" s="61">
        <f>IF(ISERR(Q70*$G51),0,Q70*$G51)</f>
        <v>0</v>
      </c>
      <c r="R137" s="62"/>
      <c r="S137" s="62"/>
      <c r="T137" s="63"/>
      <c r="U137" s="61">
        <f>IF(ISERR(U70*$G51),0,U70*$G51)</f>
        <v>0</v>
      </c>
      <c r="V137" s="62"/>
      <c r="W137" s="62"/>
      <c r="X137" s="63"/>
      <c r="Y137" s="61">
        <f>IF(ISERR(Y70*$G51),0,Y70*$G51)</f>
        <v>90</v>
      </c>
      <c r="Z137" s="62"/>
      <c r="AA137" s="62"/>
      <c r="AB137" s="63"/>
      <c r="AC137" s="61">
        <f>IF(ISERR(AC70*$G51),0,AC70*$G51)</f>
        <v>90</v>
      </c>
      <c r="AD137" s="62"/>
      <c r="AE137" s="62"/>
      <c r="AF137" s="63"/>
      <c r="AG137" s="61">
        <f>IF(ISERR(AG70*$G51),0,AG70*$G51)</f>
        <v>0</v>
      </c>
      <c r="AH137" s="62"/>
      <c r="AI137" s="62"/>
      <c r="AJ137" s="63"/>
      <c r="AK137" s="61">
        <f>IF(ISERR(AK70*$G51),0,AK70*$G51)</f>
        <v>90</v>
      </c>
      <c r="AL137" s="62"/>
      <c r="AM137" s="62"/>
      <c r="AN137" s="63"/>
      <c r="AO137" s="61">
        <f>IF(ISERR(AO70*$G51),0,AO70*$G51)</f>
        <v>0</v>
      </c>
      <c r="AP137" s="62"/>
      <c r="AQ137" s="62"/>
      <c r="AR137" s="63"/>
      <c r="AS137" s="61">
        <f>IF(ISERR(AS70*$G51),0,AS70*$G51)</f>
        <v>0</v>
      </c>
      <c r="AT137" s="62"/>
      <c r="AU137" s="62"/>
      <c r="AV137" s="63"/>
      <c r="AW137" s="61">
        <f>IF(ISERR(AW70*$G51),0,AW70*$G51)</f>
        <v>0</v>
      </c>
      <c r="AX137" s="62"/>
      <c r="AY137" s="62"/>
      <c r="AZ137" s="63"/>
    </row>
    <row r="138" spans="8:52" ht="26.25" customHeight="1" x14ac:dyDescent="0.25">
      <c r="H138" s="75"/>
      <c r="I138" s="61">
        <f>IF(ISERR(I71*#REF!),0,I71*#REF!)</f>
        <v>0</v>
      </c>
      <c r="J138" s="62"/>
      <c r="K138" s="62"/>
      <c r="L138" s="63"/>
      <c r="M138" s="61">
        <f>IF(ISERR(M71*#REF!),0,M71*#REF!)</f>
        <v>0</v>
      </c>
      <c r="N138" s="62"/>
      <c r="O138" s="62"/>
      <c r="P138" s="63"/>
      <c r="Q138" s="61">
        <f>IF(ISERR(Q71*#REF!),0,Q71*#REF!)</f>
        <v>0</v>
      </c>
      <c r="R138" s="62"/>
      <c r="S138" s="62"/>
      <c r="T138" s="63"/>
      <c r="U138" s="61">
        <f>IF(ISERR(U71*#REF!),0,U71*#REF!)</f>
        <v>0</v>
      </c>
      <c r="V138" s="62"/>
      <c r="W138" s="62"/>
      <c r="X138" s="63"/>
      <c r="Y138" s="61">
        <f>IF(ISERR(Y71*#REF!),0,Y71*#REF!)</f>
        <v>0</v>
      </c>
      <c r="Z138" s="62"/>
      <c r="AA138" s="62"/>
      <c r="AB138" s="63"/>
      <c r="AC138" s="61">
        <f>IF(ISERR(AC71*#REF!),0,AC71*#REF!)</f>
        <v>0</v>
      </c>
      <c r="AD138" s="62"/>
      <c r="AE138" s="62"/>
      <c r="AF138" s="63"/>
      <c r="AG138" s="61">
        <f>IF(ISERR(AG71*#REF!),0,AG71*#REF!)</f>
        <v>0</v>
      </c>
      <c r="AH138" s="62"/>
      <c r="AI138" s="62"/>
      <c r="AJ138" s="63"/>
      <c r="AK138" s="61">
        <f>IF(ISERR(AK71*#REF!),0,AK71*#REF!)</f>
        <v>0</v>
      </c>
      <c r="AL138" s="62"/>
      <c r="AM138" s="62"/>
      <c r="AN138" s="63"/>
      <c r="AO138" s="61">
        <f>IF(ISERR(AO71*#REF!),0,AO71*#REF!)</f>
        <v>0</v>
      </c>
      <c r="AP138" s="62"/>
      <c r="AQ138" s="62"/>
      <c r="AR138" s="63"/>
      <c r="AS138" s="61">
        <f>IF(ISERR(AS71*#REF!),0,AS71*#REF!)</f>
        <v>0</v>
      </c>
      <c r="AT138" s="62"/>
      <c r="AU138" s="62"/>
      <c r="AV138" s="63"/>
      <c r="AW138" s="61">
        <f>IF(ISERR(AW71*#REF!),0,AW71*#REF!)</f>
        <v>0</v>
      </c>
      <c r="AX138" s="62"/>
      <c r="AY138" s="62"/>
      <c r="AZ138" s="63"/>
    </row>
    <row r="139" spans="8:52" ht="26.25" customHeight="1" x14ac:dyDescent="0.25">
      <c r="H139" s="75"/>
      <c r="I139" s="61">
        <f>IF(ISERR(I72*#REF!),0,I72*#REF!)</f>
        <v>0</v>
      </c>
      <c r="J139" s="62"/>
      <c r="K139" s="62"/>
      <c r="L139" s="63"/>
      <c r="M139" s="61">
        <f>IF(ISERR(M72*#REF!),0,M72*#REF!)</f>
        <v>0</v>
      </c>
      <c r="N139" s="62"/>
      <c r="O139" s="62"/>
      <c r="P139" s="63"/>
      <c r="Q139" s="61">
        <f>IF(ISERR(Q72*#REF!),0,Q72*#REF!)</f>
        <v>0</v>
      </c>
      <c r="R139" s="62"/>
      <c r="S139" s="62"/>
      <c r="T139" s="63"/>
      <c r="U139" s="61">
        <f>IF(ISERR(U72*#REF!),0,U72*#REF!)</f>
        <v>0</v>
      </c>
      <c r="V139" s="62"/>
      <c r="W139" s="62"/>
      <c r="X139" s="63"/>
      <c r="Y139" s="61">
        <f>IF(ISERR(Y72*#REF!),0,Y72*#REF!)</f>
        <v>0</v>
      </c>
      <c r="Z139" s="62"/>
      <c r="AA139" s="62"/>
      <c r="AB139" s="63"/>
      <c r="AC139" s="61">
        <f>IF(ISERR(AC72*#REF!),0,AC72*#REF!)</f>
        <v>0</v>
      </c>
      <c r="AD139" s="62"/>
      <c r="AE139" s="62"/>
      <c r="AF139" s="63"/>
      <c r="AG139" s="61">
        <f>IF(ISERR(AG72*#REF!),0,AG72*#REF!)</f>
        <v>0</v>
      </c>
      <c r="AH139" s="62"/>
      <c r="AI139" s="62"/>
      <c r="AJ139" s="63"/>
      <c r="AK139" s="61">
        <f>IF(ISERR(AK72*#REF!),0,AK72*#REF!)</f>
        <v>0</v>
      </c>
      <c r="AL139" s="62"/>
      <c r="AM139" s="62"/>
      <c r="AN139" s="63"/>
      <c r="AO139" s="61">
        <f>IF(ISERR(AO72*#REF!),0,AO72*#REF!)</f>
        <v>0</v>
      </c>
      <c r="AP139" s="62"/>
      <c r="AQ139" s="62"/>
      <c r="AR139" s="63"/>
      <c r="AS139" s="61">
        <f>IF(ISERR(AS72*#REF!),0,AS72*#REF!)</f>
        <v>0</v>
      </c>
      <c r="AT139" s="62"/>
      <c r="AU139" s="62"/>
      <c r="AV139" s="63"/>
      <c r="AW139" s="61">
        <f>IF(ISERR(AW72*#REF!),0,AW72*#REF!)</f>
        <v>0</v>
      </c>
      <c r="AX139" s="62"/>
      <c r="AY139" s="62"/>
      <c r="AZ139" s="63"/>
    </row>
    <row r="140" spans="8:52" ht="26.25" customHeight="1" x14ac:dyDescent="0.25">
      <c r="H140" s="75"/>
      <c r="I140" s="61">
        <f>IF(ISERR(I73*#REF!),0,I73*#REF!)</f>
        <v>0</v>
      </c>
      <c r="J140" s="62"/>
      <c r="K140" s="62"/>
      <c r="L140" s="63"/>
      <c r="M140" s="61">
        <f>IF(ISERR(M73*#REF!),0,M73*#REF!)</f>
        <v>0</v>
      </c>
      <c r="N140" s="62"/>
      <c r="O140" s="62"/>
      <c r="P140" s="63"/>
      <c r="Q140" s="61">
        <f>IF(ISERR(Q73*#REF!),0,Q73*#REF!)</f>
        <v>0</v>
      </c>
      <c r="R140" s="62"/>
      <c r="S140" s="62"/>
      <c r="T140" s="63"/>
      <c r="U140" s="61">
        <f>IF(ISERR(U73*#REF!),0,U73*#REF!)</f>
        <v>0</v>
      </c>
      <c r="V140" s="62"/>
      <c r="W140" s="62"/>
      <c r="X140" s="63"/>
      <c r="Y140" s="61">
        <f>IF(ISERR(Y73*#REF!),0,Y73*#REF!)</f>
        <v>0</v>
      </c>
      <c r="Z140" s="62"/>
      <c r="AA140" s="62"/>
      <c r="AB140" s="63"/>
      <c r="AC140" s="61">
        <f>IF(ISERR(AC73*#REF!),0,AC73*#REF!)</f>
        <v>0</v>
      </c>
      <c r="AD140" s="62"/>
      <c r="AE140" s="62"/>
      <c r="AF140" s="63"/>
      <c r="AG140" s="61">
        <f>IF(ISERR(AG73*#REF!),0,AG73*#REF!)</f>
        <v>0</v>
      </c>
      <c r="AH140" s="62"/>
      <c r="AI140" s="62"/>
      <c r="AJ140" s="63"/>
      <c r="AK140" s="61">
        <f>IF(ISERR(AK73*#REF!),0,AK73*#REF!)</f>
        <v>0</v>
      </c>
      <c r="AL140" s="62"/>
      <c r="AM140" s="62"/>
      <c r="AN140" s="63"/>
      <c r="AO140" s="61">
        <f>IF(ISERR(AO73*#REF!),0,AO73*#REF!)</f>
        <v>0</v>
      </c>
      <c r="AP140" s="62"/>
      <c r="AQ140" s="62"/>
      <c r="AR140" s="63"/>
      <c r="AS140" s="61">
        <f>IF(ISERR(AS73*#REF!),0,AS73*#REF!)</f>
        <v>0</v>
      </c>
      <c r="AT140" s="62"/>
      <c r="AU140" s="62"/>
      <c r="AV140" s="63"/>
      <c r="AW140" s="61">
        <f>IF(ISERR(AW73*#REF!),0,AW73*#REF!)</f>
        <v>0</v>
      </c>
      <c r="AX140" s="62"/>
      <c r="AY140" s="62"/>
      <c r="AZ140" s="63"/>
    </row>
    <row r="141" spans="8:52" ht="26.25" customHeight="1" x14ac:dyDescent="0.25">
      <c r="H141" s="75"/>
      <c r="I141" s="61">
        <f>IF(ISERR(I74*#REF!),0,I74*#REF!)</f>
        <v>0</v>
      </c>
      <c r="J141" s="62"/>
      <c r="K141" s="62"/>
      <c r="L141" s="63"/>
      <c r="M141" s="61">
        <f>IF(ISERR(M74*#REF!),0,M74*#REF!)</f>
        <v>0</v>
      </c>
      <c r="N141" s="62"/>
      <c r="O141" s="62"/>
      <c r="P141" s="63"/>
      <c r="Q141" s="61">
        <f>IF(ISERR(Q74*#REF!),0,Q74*#REF!)</f>
        <v>0</v>
      </c>
      <c r="R141" s="62"/>
      <c r="S141" s="62"/>
      <c r="T141" s="63"/>
      <c r="U141" s="61">
        <f>IF(ISERR(U74*#REF!),0,U74*#REF!)</f>
        <v>0</v>
      </c>
      <c r="V141" s="62"/>
      <c r="W141" s="62"/>
      <c r="X141" s="63"/>
      <c r="Y141" s="61">
        <f>IF(ISERR(Y74*#REF!),0,Y74*#REF!)</f>
        <v>0</v>
      </c>
      <c r="Z141" s="62"/>
      <c r="AA141" s="62"/>
      <c r="AB141" s="63"/>
      <c r="AC141" s="61">
        <f>IF(ISERR(AC74*#REF!),0,AC74*#REF!)</f>
        <v>0</v>
      </c>
      <c r="AD141" s="62"/>
      <c r="AE141" s="62"/>
      <c r="AF141" s="63"/>
      <c r="AG141" s="61">
        <f>IF(ISERR(AG74*#REF!),0,AG74*#REF!)</f>
        <v>0</v>
      </c>
      <c r="AH141" s="62"/>
      <c r="AI141" s="62"/>
      <c r="AJ141" s="63"/>
      <c r="AK141" s="61">
        <f>IF(ISERR(AK74*#REF!),0,AK74*#REF!)</f>
        <v>0</v>
      </c>
      <c r="AL141" s="62"/>
      <c r="AM141" s="62"/>
      <c r="AN141" s="63"/>
      <c r="AO141" s="61">
        <f>IF(ISERR(AO74*#REF!),0,AO74*#REF!)</f>
        <v>0</v>
      </c>
      <c r="AP141" s="62"/>
      <c r="AQ141" s="62"/>
      <c r="AR141" s="63"/>
      <c r="AS141" s="61">
        <f>IF(ISERR(AS74*#REF!),0,AS74*#REF!)</f>
        <v>0</v>
      </c>
      <c r="AT141" s="62"/>
      <c r="AU141" s="62"/>
      <c r="AV141" s="63"/>
      <c r="AW141" s="61">
        <f>IF(ISERR(AW74*#REF!),0,AW74*#REF!)</f>
        <v>0</v>
      </c>
      <c r="AX141" s="62"/>
      <c r="AY141" s="62"/>
      <c r="AZ141" s="63"/>
    </row>
    <row r="142" spans="8:52" ht="26.25" customHeight="1" x14ac:dyDescent="0.25">
      <c r="H142" s="75"/>
      <c r="I142" s="61">
        <f>IF(ISERR(I75*#REF!),0,I75*#REF!)</f>
        <v>0</v>
      </c>
      <c r="J142" s="62"/>
      <c r="K142" s="62"/>
      <c r="L142" s="63"/>
      <c r="M142" s="61">
        <f>IF(ISERR(M75*#REF!),0,M75*#REF!)</f>
        <v>0</v>
      </c>
      <c r="N142" s="62"/>
      <c r="O142" s="62"/>
      <c r="P142" s="63"/>
      <c r="Q142" s="61">
        <f>IF(ISERR(Q75*#REF!),0,Q75*#REF!)</f>
        <v>0</v>
      </c>
      <c r="R142" s="62"/>
      <c r="S142" s="62"/>
      <c r="T142" s="63"/>
      <c r="U142" s="61">
        <f>IF(ISERR(U75*#REF!),0,U75*#REF!)</f>
        <v>0</v>
      </c>
      <c r="V142" s="62"/>
      <c r="W142" s="62"/>
      <c r="X142" s="63"/>
      <c r="Y142" s="61">
        <f>IF(ISERR(Y75*#REF!),0,Y75*#REF!)</f>
        <v>0</v>
      </c>
      <c r="Z142" s="62"/>
      <c r="AA142" s="62"/>
      <c r="AB142" s="63"/>
      <c r="AC142" s="61">
        <f>IF(ISERR(AC75*#REF!),0,AC75*#REF!)</f>
        <v>0</v>
      </c>
      <c r="AD142" s="62"/>
      <c r="AE142" s="62"/>
      <c r="AF142" s="63"/>
      <c r="AG142" s="61">
        <f>IF(ISERR(AG75*#REF!),0,AG75*#REF!)</f>
        <v>0</v>
      </c>
      <c r="AH142" s="62"/>
      <c r="AI142" s="62"/>
      <c r="AJ142" s="63"/>
      <c r="AK142" s="61">
        <f>IF(ISERR(AK75*#REF!),0,AK75*#REF!)</f>
        <v>0</v>
      </c>
      <c r="AL142" s="62"/>
      <c r="AM142" s="62"/>
      <c r="AN142" s="63"/>
      <c r="AO142" s="61">
        <f>IF(ISERR(AO75*#REF!),0,AO75*#REF!)</f>
        <v>0</v>
      </c>
      <c r="AP142" s="62"/>
      <c r="AQ142" s="62"/>
      <c r="AR142" s="63"/>
      <c r="AS142" s="61">
        <f>IF(ISERR(AS75*#REF!),0,AS75*#REF!)</f>
        <v>0</v>
      </c>
      <c r="AT142" s="62"/>
      <c r="AU142" s="62"/>
      <c r="AV142" s="63"/>
      <c r="AW142" s="61">
        <f>IF(ISERR(AW75*#REF!),0,AW75*#REF!)</f>
        <v>0</v>
      </c>
      <c r="AX142" s="62"/>
      <c r="AY142" s="62"/>
      <c r="AZ142" s="63"/>
    </row>
    <row r="143" spans="8:52" ht="26.25" customHeight="1" x14ac:dyDescent="0.25">
      <c r="H143" s="75"/>
      <c r="I143" s="61">
        <f>IF(ISERR(I76*#REF!),0,I76*#REF!)</f>
        <v>0</v>
      </c>
      <c r="J143" s="62"/>
      <c r="K143" s="62"/>
      <c r="L143" s="63"/>
      <c r="M143" s="61">
        <f>IF(ISERR(M76*#REF!),0,M76*#REF!)</f>
        <v>0</v>
      </c>
      <c r="N143" s="62"/>
      <c r="O143" s="62"/>
      <c r="P143" s="63"/>
      <c r="Q143" s="61">
        <f>IF(ISERR(Q76*#REF!),0,Q76*#REF!)</f>
        <v>0</v>
      </c>
      <c r="R143" s="62"/>
      <c r="S143" s="62"/>
      <c r="T143" s="63"/>
      <c r="U143" s="61">
        <f>IF(ISERR(U76*#REF!),0,U76*#REF!)</f>
        <v>0</v>
      </c>
      <c r="V143" s="62"/>
      <c r="W143" s="62"/>
      <c r="X143" s="63"/>
      <c r="Y143" s="61">
        <f>IF(ISERR(Y76*#REF!),0,Y76*#REF!)</f>
        <v>0</v>
      </c>
      <c r="Z143" s="62"/>
      <c r="AA143" s="62"/>
      <c r="AB143" s="63"/>
      <c r="AC143" s="61">
        <f>IF(ISERR(AC76*#REF!),0,AC76*#REF!)</f>
        <v>0</v>
      </c>
      <c r="AD143" s="62"/>
      <c r="AE143" s="62"/>
      <c r="AF143" s="63"/>
      <c r="AG143" s="61">
        <f>IF(ISERR(AG76*#REF!),0,AG76*#REF!)</f>
        <v>0</v>
      </c>
      <c r="AH143" s="62"/>
      <c r="AI143" s="62"/>
      <c r="AJ143" s="63"/>
      <c r="AK143" s="61">
        <f>IF(ISERR(AK76*#REF!),0,AK76*#REF!)</f>
        <v>0</v>
      </c>
      <c r="AL143" s="62"/>
      <c r="AM143" s="62"/>
      <c r="AN143" s="63"/>
      <c r="AO143" s="61">
        <f>IF(ISERR(AO76*#REF!),0,AO76*#REF!)</f>
        <v>0</v>
      </c>
      <c r="AP143" s="62"/>
      <c r="AQ143" s="62"/>
      <c r="AR143" s="63"/>
      <c r="AS143" s="61">
        <f>IF(ISERR(AS76*#REF!),0,AS76*#REF!)</f>
        <v>0</v>
      </c>
      <c r="AT143" s="62"/>
      <c r="AU143" s="62"/>
      <c r="AV143" s="63"/>
      <c r="AW143" s="61">
        <f>IF(ISERR(AW76*#REF!),0,AW76*#REF!)</f>
        <v>0</v>
      </c>
      <c r="AX143" s="62"/>
      <c r="AY143" s="62"/>
      <c r="AZ143" s="63"/>
    </row>
    <row r="144" spans="8:52" ht="26.25" customHeight="1" x14ac:dyDescent="0.25">
      <c r="H144" s="75"/>
      <c r="I144" s="61">
        <f>IF(ISERR(I77*#REF!),0,I77*#REF!)</f>
        <v>0</v>
      </c>
      <c r="J144" s="62"/>
      <c r="K144" s="62"/>
      <c r="L144" s="63"/>
      <c r="M144" s="61">
        <f>IF(ISERR(M77*#REF!),0,M77*#REF!)</f>
        <v>0</v>
      </c>
      <c r="N144" s="62"/>
      <c r="O144" s="62"/>
      <c r="P144" s="63"/>
      <c r="Q144" s="61">
        <f>IF(ISERR(Q77*#REF!),0,Q77*#REF!)</f>
        <v>0</v>
      </c>
      <c r="R144" s="62"/>
      <c r="S144" s="62"/>
      <c r="T144" s="63"/>
      <c r="U144" s="61">
        <f>IF(ISERR(U77*#REF!),0,U77*#REF!)</f>
        <v>0</v>
      </c>
      <c r="V144" s="62"/>
      <c r="W144" s="62"/>
      <c r="X144" s="63"/>
      <c r="Y144" s="61">
        <f>IF(ISERR(Y77*#REF!),0,Y77*#REF!)</f>
        <v>0</v>
      </c>
      <c r="Z144" s="62"/>
      <c r="AA144" s="62"/>
      <c r="AB144" s="63"/>
      <c r="AC144" s="61">
        <f>IF(ISERR(AC77*#REF!),0,AC77*#REF!)</f>
        <v>0</v>
      </c>
      <c r="AD144" s="62"/>
      <c r="AE144" s="62"/>
      <c r="AF144" s="63"/>
      <c r="AG144" s="61">
        <f>IF(ISERR(AG77*#REF!),0,AG77*#REF!)</f>
        <v>0</v>
      </c>
      <c r="AH144" s="62"/>
      <c r="AI144" s="62"/>
      <c r="AJ144" s="63"/>
      <c r="AK144" s="61">
        <f>IF(ISERR(AK77*#REF!),0,AK77*#REF!)</f>
        <v>0</v>
      </c>
      <c r="AL144" s="62"/>
      <c r="AM144" s="62"/>
      <c r="AN144" s="63"/>
      <c r="AO144" s="61">
        <f>IF(ISERR(AO77*#REF!),0,AO77*#REF!)</f>
        <v>0</v>
      </c>
      <c r="AP144" s="62"/>
      <c r="AQ144" s="62"/>
      <c r="AR144" s="63"/>
      <c r="AS144" s="61">
        <f>IF(ISERR(AS77*#REF!),0,AS77*#REF!)</f>
        <v>0</v>
      </c>
      <c r="AT144" s="62"/>
      <c r="AU144" s="62"/>
      <c r="AV144" s="63"/>
      <c r="AW144" s="61">
        <f>IF(ISERR(AW77*#REF!),0,AW77*#REF!)</f>
        <v>0</v>
      </c>
      <c r="AX144" s="62"/>
      <c r="AY144" s="62"/>
      <c r="AZ144" s="63"/>
    </row>
    <row r="145" spans="8:52" ht="26.25" customHeight="1" x14ac:dyDescent="0.25">
      <c r="H145" s="76"/>
      <c r="I145" s="64">
        <f>SUM(I129:L144)</f>
        <v>180</v>
      </c>
      <c r="J145" s="65"/>
      <c r="K145" s="65"/>
      <c r="L145" s="66"/>
      <c r="M145" s="64">
        <f t="shared" ref="M145" si="70">SUM(M129:P144)</f>
        <v>370</v>
      </c>
      <c r="N145" s="65"/>
      <c r="O145" s="65"/>
      <c r="P145" s="66"/>
      <c r="Q145" s="64">
        <f t="shared" ref="Q145" si="71">SUM(Q129:T144)</f>
        <v>280</v>
      </c>
      <c r="R145" s="65"/>
      <c r="S145" s="65"/>
      <c r="T145" s="66"/>
      <c r="U145" s="64">
        <f t="shared" ref="U145" si="72">SUM(U129:X144)</f>
        <v>235</v>
      </c>
      <c r="V145" s="65"/>
      <c r="W145" s="65"/>
      <c r="X145" s="66"/>
      <c r="Y145" s="64">
        <f t="shared" ref="Y145" si="73">SUM(Y129:AB144)</f>
        <v>475</v>
      </c>
      <c r="Z145" s="65"/>
      <c r="AA145" s="65"/>
      <c r="AB145" s="66"/>
      <c r="AC145" s="64">
        <f t="shared" ref="AC145" si="74">SUM(AC129:AF144)</f>
        <v>100</v>
      </c>
      <c r="AD145" s="65"/>
      <c r="AE145" s="65"/>
      <c r="AF145" s="66"/>
      <c r="AG145" s="64">
        <f t="shared" ref="AG145" si="75">SUM(AG129:AJ144)</f>
        <v>495</v>
      </c>
      <c r="AH145" s="65"/>
      <c r="AI145" s="65"/>
      <c r="AJ145" s="66"/>
      <c r="AK145" s="64">
        <f t="shared" ref="AK145" si="76">SUM(AK129:AN144)</f>
        <v>130</v>
      </c>
      <c r="AL145" s="65"/>
      <c r="AM145" s="65"/>
      <c r="AN145" s="66"/>
      <c r="AO145" s="64">
        <f t="shared" ref="AO145" si="77">SUM(AO129:AR144)</f>
        <v>135</v>
      </c>
      <c r="AP145" s="65"/>
      <c r="AQ145" s="65"/>
      <c r="AR145" s="66"/>
      <c r="AS145" s="64">
        <f t="shared" ref="AS145" si="78">SUM(AS129:AV144)</f>
        <v>205</v>
      </c>
      <c r="AT145" s="65"/>
      <c r="AU145" s="65"/>
      <c r="AV145" s="66"/>
      <c r="AW145" s="64">
        <f t="shared" ref="AW145" si="79">SUM(AW129:AZ144)</f>
        <v>320</v>
      </c>
      <c r="AX145" s="65"/>
      <c r="AY145" s="65"/>
      <c r="AZ145" s="66"/>
    </row>
    <row r="146" spans="8:52" ht="24.75" customHeight="1" x14ac:dyDescent="0.25">
      <c r="H146" s="29" t="s">
        <v>59</v>
      </c>
      <c r="I146" s="55">
        <f>SUM(I145,I128,I111,I94)</f>
        <v>730</v>
      </c>
      <c r="J146" s="56"/>
      <c r="K146" s="56"/>
      <c r="L146" s="57"/>
      <c r="M146" s="55">
        <f>SUM(M145,M128,M111,M94)</f>
        <v>1325</v>
      </c>
      <c r="N146" s="56"/>
      <c r="O146" s="56"/>
      <c r="P146" s="57"/>
      <c r="Q146" s="55">
        <f>SUM(Q145,Q128,Q111,Q94)</f>
        <v>985</v>
      </c>
      <c r="R146" s="56"/>
      <c r="S146" s="56"/>
      <c r="T146" s="57"/>
      <c r="U146" s="55">
        <f>SUM(U145,U128,U111,U94)</f>
        <v>805</v>
      </c>
      <c r="V146" s="56"/>
      <c r="W146" s="56"/>
      <c r="X146" s="57"/>
      <c r="Y146" s="55">
        <f>SUM(Y145,Y128,Y111,Y94)</f>
        <v>1850</v>
      </c>
      <c r="Z146" s="56"/>
      <c r="AA146" s="56"/>
      <c r="AB146" s="57"/>
      <c r="AC146" s="55">
        <f>SUM(AC145,AC128,AC111,AC94)</f>
        <v>355</v>
      </c>
      <c r="AD146" s="56"/>
      <c r="AE146" s="56"/>
      <c r="AF146" s="57"/>
      <c r="AG146" s="55">
        <f>SUM(AG145,AG128,AG111,AG94)</f>
        <v>1890</v>
      </c>
      <c r="AH146" s="56"/>
      <c r="AI146" s="56"/>
      <c r="AJ146" s="57"/>
      <c r="AK146" s="55">
        <f>SUM(AK145,AK128,AK111,AK94)</f>
        <v>485</v>
      </c>
      <c r="AL146" s="56"/>
      <c r="AM146" s="56"/>
      <c r="AN146" s="57"/>
      <c r="AO146" s="55">
        <f>SUM(AO145,AO128,AO111,AO94)</f>
        <v>450</v>
      </c>
      <c r="AP146" s="56"/>
      <c r="AQ146" s="56"/>
      <c r="AR146" s="57"/>
      <c r="AS146" s="55">
        <f>SUM(AS145,AS128,AS111,AS94)</f>
        <v>760</v>
      </c>
      <c r="AT146" s="56"/>
      <c r="AU146" s="56"/>
      <c r="AV146" s="57"/>
      <c r="AW146" s="55">
        <f>SUM(AW145,AW128,AW111,AW94)</f>
        <v>1290</v>
      </c>
      <c r="AX146" s="56"/>
      <c r="AY146" s="56"/>
      <c r="AZ146" s="57"/>
    </row>
    <row r="147" spans="8:52" ht="24.75" customHeight="1" x14ac:dyDescent="0.25">
      <c r="H147" s="29" t="s">
        <v>60</v>
      </c>
      <c r="I147" s="55">
        <f>IF(I146=0,1,I146)</f>
        <v>730</v>
      </c>
      <c r="J147" s="56"/>
      <c r="K147" s="56"/>
      <c r="L147" s="57"/>
      <c r="M147" s="55">
        <f t="shared" ref="M147" si="80">IF(M146=0,1,M146)</f>
        <v>1325</v>
      </c>
      <c r="N147" s="56"/>
      <c r="O147" s="56"/>
      <c r="P147" s="57"/>
      <c r="Q147" s="55">
        <f t="shared" ref="Q147" si="81">IF(Q146=0,1,Q146)</f>
        <v>985</v>
      </c>
      <c r="R147" s="56"/>
      <c r="S147" s="56"/>
      <c r="T147" s="57"/>
      <c r="U147" s="55">
        <f t="shared" ref="U147" si="82">IF(U146=0,1,U146)</f>
        <v>805</v>
      </c>
      <c r="V147" s="56"/>
      <c r="W147" s="56"/>
      <c r="X147" s="57"/>
      <c r="Y147" s="55">
        <f t="shared" ref="Y147" si="83">IF(Y146=0,1,Y146)</f>
        <v>1850</v>
      </c>
      <c r="Z147" s="56"/>
      <c r="AA147" s="56"/>
      <c r="AB147" s="57"/>
      <c r="AC147" s="55">
        <f t="shared" ref="AC147" si="84">IF(AC146=0,1,AC146)</f>
        <v>355</v>
      </c>
      <c r="AD147" s="56"/>
      <c r="AE147" s="56"/>
      <c r="AF147" s="57"/>
      <c r="AG147" s="55">
        <f t="shared" ref="AG147" si="85">IF(AG146=0,1,AG146)</f>
        <v>1890</v>
      </c>
      <c r="AH147" s="56"/>
      <c r="AI147" s="56"/>
      <c r="AJ147" s="57"/>
      <c r="AK147" s="55">
        <f t="shared" ref="AK147" si="86">IF(AK146=0,1,AK146)</f>
        <v>485</v>
      </c>
      <c r="AL147" s="56"/>
      <c r="AM147" s="56"/>
      <c r="AN147" s="57"/>
      <c r="AO147" s="55">
        <f t="shared" ref="AO147" si="87">IF(AO146=0,1,AO146)</f>
        <v>450</v>
      </c>
      <c r="AP147" s="56"/>
      <c r="AQ147" s="56"/>
      <c r="AR147" s="57"/>
      <c r="AS147" s="55">
        <f t="shared" ref="AS147" si="88">IF(AS146=0,1,AS146)</f>
        <v>760</v>
      </c>
      <c r="AT147" s="56"/>
      <c r="AU147" s="56"/>
      <c r="AV147" s="57"/>
      <c r="AW147" s="55">
        <f t="shared" ref="AW147" si="89">IF(AW146=0,1,AW146)</f>
        <v>1290</v>
      </c>
      <c r="AX147" s="56"/>
      <c r="AY147" s="56"/>
      <c r="AZ147" s="57"/>
    </row>
    <row r="148" spans="8:52" ht="24.75" customHeight="1" x14ac:dyDescent="0.25"/>
    <row r="149" spans="8:52" ht="24.75" customHeight="1" x14ac:dyDescent="0.25"/>
    <row r="150" spans="8:52" ht="24.75" customHeight="1" x14ac:dyDescent="0.25"/>
    <row r="151" spans="8:52" ht="24.75" customHeight="1" x14ac:dyDescent="0.25"/>
    <row r="152" spans="8:52" ht="24.75" customHeight="1" x14ac:dyDescent="0.25"/>
    <row r="153" spans="8:52" ht="24.75" customHeight="1" x14ac:dyDescent="0.25"/>
    <row r="154" spans="8:52" ht="24.75" customHeight="1" x14ac:dyDescent="0.25"/>
    <row r="155" spans="8:52" ht="24.75" customHeight="1" x14ac:dyDescent="0.25"/>
    <row r="156" spans="8:52" ht="24.75" customHeight="1" x14ac:dyDescent="0.25"/>
    <row r="157" spans="8:52" ht="24.75" customHeight="1" x14ac:dyDescent="0.25"/>
    <row r="158" spans="8:52" ht="24.75" customHeight="1" x14ac:dyDescent="0.25"/>
    <row r="159" spans="8:52" ht="24.75" customHeight="1" x14ac:dyDescent="0.25"/>
    <row r="160" spans="8:52" ht="24.75" customHeight="1" x14ac:dyDescent="0.25"/>
    <row r="161" ht="24.75" customHeight="1" x14ac:dyDescent="0.25"/>
    <row r="162" ht="24.75" customHeight="1" x14ac:dyDescent="0.25"/>
  </sheetData>
  <mergeCells count="1325">
    <mergeCell ref="AK57:AN57"/>
    <mergeCell ref="AO57:AR57"/>
    <mergeCell ref="AS57:AV57"/>
    <mergeCell ref="AW57:AZ57"/>
    <mergeCell ref="BE1:BJ1"/>
    <mergeCell ref="BA40:BI40"/>
    <mergeCell ref="I57:L57"/>
    <mergeCell ref="E30:G31"/>
    <mergeCell ref="AG40:AJ40"/>
    <mergeCell ref="AK40:AN40"/>
    <mergeCell ref="U38:X38"/>
    <mergeCell ref="Y38:AB38"/>
    <mergeCell ref="AC38:AF38"/>
    <mergeCell ref="AG38:AJ38"/>
    <mergeCell ref="AK38:AN38"/>
    <mergeCell ref="AO38:AR38"/>
    <mergeCell ref="AS38:AV38"/>
    <mergeCell ref="BI41:BI42"/>
    <mergeCell ref="BJ41:BJ42"/>
    <mergeCell ref="BD43:BD51"/>
    <mergeCell ref="BE41:BE42"/>
    <mergeCell ref="BF41:BF42"/>
    <mergeCell ref="BG41:BG42"/>
    <mergeCell ref="BH41:BH42"/>
    <mergeCell ref="BA41:BA42"/>
    <mergeCell ref="BB41:BB42"/>
    <mergeCell ref="BC41:BC42"/>
    <mergeCell ref="BD41:BD42"/>
    <mergeCell ref="I62:L62"/>
    <mergeCell ref="M62:P62"/>
    <mergeCell ref="Q62:T62"/>
    <mergeCell ref="U62:X62"/>
    <mergeCell ref="Y62:AB62"/>
    <mergeCell ref="AC62:AF62"/>
    <mergeCell ref="AG62:AJ62"/>
    <mergeCell ref="I63:L63"/>
    <mergeCell ref="M63:P63"/>
    <mergeCell ref="Q63:T63"/>
    <mergeCell ref="U63:X63"/>
    <mergeCell ref="I53:L53"/>
    <mergeCell ref="M53:P53"/>
    <mergeCell ref="Q57:T57"/>
    <mergeCell ref="U57:X57"/>
    <mergeCell ref="Y57:AB57"/>
    <mergeCell ref="AC57:AF57"/>
    <mergeCell ref="AG57:AJ57"/>
    <mergeCell ref="I54:L54"/>
    <mergeCell ref="M54:P54"/>
    <mergeCell ref="Q54:T54"/>
    <mergeCell ref="U54:X54"/>
    <mergeCell ref="Y54:AB54"/>
    <mergeCell ref="AC54:AF54"/>
    <mergeCell ref="AG54:AJ54"/>
    <mergeCell ref="AS52:AV52"/>
    <mergeCell ref="AW52:AZ52"/>
    <mergeCell ref="AS54:AV54"/>
    <mergeCell ref="AW54:AZ54"/>
    <mergeCell ref="I56:L56"/>
    <mergeCell ref="M56:P56"/>
    <mergeCell ref="Q56:T56"/>
    <mergeCell ref="U56:X56"/>
    <mergeCell ref="Y56:AB56"/>
    <mergeCell ref="AC56:AF56"/>
    <mergeCell ref="AG56:AJ56"/>
    <mergeCell ref="AK55:AN55"/>
    <mergeCell ref="AO55:AR55"/>
    <mergeCell ref="AS55:AV55"/>
    <mergeCell ref="AW55:AZ55"/>
    <mergeCell ref="I55:L55"/>
    <mergeCell ref="M55:P55"/>
    <mergeCell ref="Q55:T55"/>
    <mergeCell ref="U55:X55"/>
    <mergeCell ref="Y55:AB55"/>
    <mergeCell ref="AC55:AF55"/>
    <mergeCell ref="AG55:AJ55"/>
    <mergeCell ref="AK56:AN56"/>
    <mergeCell ref="M40:P40"/>
    <mergeCell ref="Q40:T40"/>
    <mergeCell ref="U40:X40"/>
    <mergeCell ref="Y40:AB40"/>
    <mergeCell ref="AC40:AF40"/>
    <mergeCell ref="C40:D40"/>
    <mergeCell ref="C38:D38"/>
    <mergeCell ref="I52:L52"/>
    <mergeCell ref="M52:P52"/>
    <mergeCell ref="Q52:T52"/>
    <mergeCell ref="U52:X52"/>
    <mergeCell ref="Y52:AB52"/>
    <mergeCell ref="AC52:AF52"/>
    <mergeCell ref="AG52:AJ52"/>
    <mergeCell ref="I38:L38"/>
    <mergeCell ref="I40:L40"/>
    <mergeCell ref="M38:P38"/>
    <mergeCell ref="Q38:T38"/>
    <mergeCell ref="AG49:AJ49"/>
    <mergeCell ref="AC43:AF43"/>
    <mergeCell ref="AG43:AJ43"/>
    <mergeCell ref="AK54:AN54"/>
    <mergeCell ref="AK53:AN53"/>
    <mergeCell ref="AO53:AR53"/>
    <mergeCell ref="AK52:AN52"/>
    <mergeCell ref="AO52:AR52"/>
    <mergeCell ref="AS40:AV40"/>
    <mergeCell ref="AW40:AZ40"/>
    <mergeCell ref="AO50:AR50"/>
    <mergeCell ref="AO51:AR51"/>
    <mergeCell ref="AK51:AN51"/>
    <mergeCell ref="AS51:AV51"/>
    <mergeCell ref="AW51:AZ51"/>
    <mergeCell ref="M51:P51"/>
    <mergeCell ref="Q51:T51"/>
    <mergeCell ref="U51:X51"/>
    <mergeCell ref="Y51:AB51"/>
    <mergeCell ref="AC51:AF51"/>
    <mergeCell ref="AG51:AJ51"/>
    <mergeCell ref="M50:P50"/>
    <mergeCell ref="Q50:T50"/>
    <mergeCell ref="U50:X50"/>
    <mergeCell ref="Y50:AB50"/>
    <mergeCell ref="AC50:AF50"/>
    <mergeCell ref="AG50:AJ50"/>
    <mergeCell ref="AK50:AN50"/>
    <mergeCell ref="AK49:AN49"/>
    <mergeCell ref="AO49:AR49"/>
    <mergeCell ref="AS49:AV49"/>
    <mergeCell ref="AW49:AZ49"/>
    <mergeCell ref="M49:P49"/>
    <mergeCell ref="Q49:T49"/>
    <mergeCell ref="U49:X49"/>
    <mergeCell ref="Y49:AB49"/>
    <mergeCell ref="AW50:AZ50"/>
    <mergeCell ref="AC49:AF49"/>
    <mergeCell ref="AS50:AV50"/>
    <mergeCell ref="M48:P48"/>
    <mergeCell ref="Q48:T48"/>
    <mergeCell ref="U48:X48"/>
    <mergeCell ref="Y48:AB48"/>
    <mergeCell ref="AC48:AF48"/>
    <mergeCell ref="AG48:AJ48"/>
    <mergeCell ref="AK48:AN48"/>
    <mergeCell ref="AO48:AR48"/>
    <mergeCell ref="AS48:AV48"/>
    <mergeCell ref="AS47:AV47"/>
    <mergeCell ref="AW47:AZ47"/>
    <mergeCell ref="U47:X47"/>
    <mergeCell ref="Y47:AB47"/>
    <mergeCell ref="U46:X46"/>
    <mergeCell ref="Y46:AB46"/>
    <mergeCell ref="AC46:AF46"/>
    <mergeCell ref="AG46:AJ46"/>
    <mergeCell ref="AK46:AN46"/>
    <mergeCell ref="AO46:AR46"/>
    <mergeCell ref="AS46:AV46"/>
    <mergeCell ref="AW48:AZ48"/>
    <mergeCell ref="AW46:AZ46"/>
    <mergeCell ref="U44:X44"/>
    <mergeCell ref="Y44:AB44"/>
    <mergeCell ref="AC44:AF44"/>
    <mergeCell ref="AG44:AJ44"/>
    <mergeCell ref="AK44:AN44"/>
    <mergeCell ref="AO44:AR44"/>
    <mergeCell ref="AS44:AV44"/>
    <mergeCell ref="AS43:AV43"/>
    <mergeCell ref="AW43:AZ43"/>
    <mergeCell ref="U43:X43"/>
    <mergeCell ref="Y43:AB43"/>
    <mergeCell ref="AS45:AV45"/>
    <mergeCell ref="AW45:AZ45"/>
    <mergeCell ref="U45:X45"/>
    <mergeCell ref="Y45:AB45"/>
    <mergeCell ref="AC45:AF45"/>
    <mergeCell ref="AG45:AJ45"/>
    <mergeCell ref="AK45:AN45"/>
    <mergeCell ref="AO45:AR45"/>
    <mergeCell ref="C51:D51"/>
    <mergeCell ref="M43:P43"/>
    <mergeCell ref="Q43:T43"/>
    <mergeCell ref="M45:P45"/>
    <mergeCell ref="Q45:T45"/>
    <mergeCell ref="M47:P47"/>
    <mergeCell ref="Q47:T47"/>
    <mergeCell ref="I49:L49"/>
    <mergeCell ref="I50:L50"/>
    <mergeCell ref="I51:L51"/>
    <mergeCell ref="I43:L43"/>
    <mergeCell ref="I44:L44"/>
    <mergeCell ref="M44:P44"/>
    <mergeCell ref="Q44:T44"/>
    <mergeCell ref="M46:P46"/>
    <mergeCell ref="Q46:T46"/>
    <mergeCell ref="AX17:AY18"/>
    <mergeCell ref="AR15:AS16"/>
    <mergeCell ref="AV15:AW16"/>
    <mergeCell ref="AX21:AY22"/>
    <mergeCell ref="AR19:AS20"/>
    <mergeCell ref="AV19:AW20"/>
    <mergeCell ref="AZ19:AZ20"/>
    <mergeCell ref="AX25:AY26"/>
    <mergeCell ref="AV23:AW24"/>
    <mergeCell ref="AZ23:AZ24"/>
    <mergeCell ref="AW38:AZ38"/>
    <mergeCell ref="AO40:AR40"/>
    <mergeCell ref="AP21:AQ22"/>
    <mergeCell ref="AT21:AU22"/>
    <mergeCell ref="AN7:AO8"/>
    <mergeCell ref="AP9:AQ10"/>
    <mergeCell ref="AN11:AO12"/>
    <mergeCell ref="AR11:AS12"/>
    <mergeCell ref="AL9:AM10"/>
    <mergeCell ref="AN19:AO20"/>
    <mergeCell ref="Z21:AA22"/>
    <mergeCell ref="AD21:AE22"/>
    <mergeCell ref="AH21:AI22"/>
    <mergeCell ref="AJ11:AK12"/>
    <mergeCell ref="AP13:AQ14"/>
    <mergeCell ref="AB19:AC20"/>
    <mergeCell ref="AF19:AG20"/>
    <mergeCell ref="AJ19:AK20"/>
    <mergeCell ref="AL21:AM22"/>
    <mergeCell ref="AH33:AI34"/>
    <mergeCell ref="AR35:AS36"/>
    <mergeCell ref="AN35:AO36"/>
    <mergeCell ref="AJ35:AK36"/>
    <mergeCell ref="AP33:AQ34"/>
    <mergeCell ref="AL33:AM34"/>
    <mergeCell ref="AH29:AI30"/>
    <mergeCell ref="AL29:AM30"/>
    <mergeCell ref="AP29:AQ30"/>
    <mergeCell ref="AB23:AC24"/>
    <mergeCell ref="AF23:AG24"/>
    <mergeCell ref="AL25:AM26"/>
    <mergeCell ref="AJ27:AK28"/>
    <mergeCell ref="AN27:AO28"/>
    <mergeCell ref="AR27:AS28"/>
    <mergeCell ref="AP25:AQ26"/>
    <mergeCell ref="AN23:AO24"/>
    <mergeCell ref="T27:U28"/>
    <mergeCell ref="X27:Y28"/>
    <mergeCell ref="AB27:AC28"/>
    <mergeCell ref="T31:U32"/>
    <mergeCell ref="R29:S30"/>
    <mergeCell ref="V29:W30"/>
    <mergeCell ref="Z29:AA30"/>
    <mergeCell ref="X31:Y32"/>
    <mergeCell ref="AB31:AC32"/>
    <mergeCell ref="AF31:AG32"/>
    <mergeCell ref="AD29:AE30"/>
    <mergeCell ref="AT13:AU14"/>
    <mergeCell ref="AF15:AG16"/>
    <mergeCell ref="AJ15:AK16"/>
    <mergeCell ref="AN15:AO16"/>
    <mergeCell ref="AD17:AE18"/>
    <mergeCell ref="AH17:AI18"/>
    <mergeCell ref="AL17:AM18"/>
    <mergeCell ref="AP17:AQ18"/>
    <mergeCell ref="AT17:AU18"/>
    <mergeCell ref="AH13:AI14"/>
    <mergeCell ref="AL13:AM14"/>
    <mergeCell ref="AT29:AU30"/>
    <mergeCell ref="X23:Y24"/>
    <mergeCell ref="AT25:AU26"/>
    <mergeCell ref="AR23:AS24"/>
    <mergeCell ref="AF27:AG28"/>
    <mergeCell ref="AJ23:AK24"/>
    <mergeCell ref="AJ31:AK32"/>
    <mergeCell ref="AN31:AO32"/>
    <mergeCell ref="AR31:AS32"/>
    <mergeCell ref="AV31:AW32"/>
    <mergeCell ref="AZ31:AZ32"/>
    <mergeCell ref="AX33:AY34"/>
    <mergeCell ref="V25:W26"/>
    <mergeCell ref="Z25:AA26"/>
    <mergeCell ref="AD25:AE26"/>
    <mergeCell ref="AH25:AI26"/>
    <mergeCell ref="AT33:AU34"/>
    <mergeCell ref="AZ35:AZ36"/>
    <mergeCell ref="AV35:AW36"/>
    <mergeCell ref="AX29:AY30"/>
    <mergeCell ref="AZ27:AZ28"/>
    <mergeCell ref="AV27:AW28"/>
    <mergeCell ref="L35:M36"/>
    <mergeCell ref="N33:O34"/>
    <mergeCell ref="P31:Q32"/>
    <mergeCell ref="P35:Q36"/>
    <mergeCell ref="R33:S34"/>
    <mergeCell ref="T35:U36"/>
    <mergeCell ref="X35:Y36"/>
    <mergeCell ref="V33:W34"/>
    <mergeCell ref="AD33:AE34"/>
    <mergeCell ref="Z33:AA34"/>
    <mergeCell ref="AB35:AC36"/>
    <mergeCell ref="AF35:AG36"/>
    <mergeCell ref="AS41:AV42"/>
    <mergeCell ref="M39:P39"/>
    <mergeCell ref="Q39:T39"/>
    <mergeCell ref="U39:X39"/>
    <mergeCell ref="Y39:AB39"/>
    <mergeCell ref="AC39:AF39"/>
    <mergeCell ref="AK41:AN42"/>
    <mergeCell ref="AO41:AR42"/>
    <mergeCell ref="I41:L42"/>
    <mergeCell ref="M41:P42"/>
    <mergeCell ref="Q41:T42"/>
    <mergeCell ref="U41:X42"/>
    <mergeCell ref="Y41:AB42"/>
    <mergeCell ref="AW41:AZ42"/>
    <mergeCell ref="AG41:AJ42"/>
    <mergeCell ref="B41:B42"/>
    <mergeCell ref="E41:E42"/>
    <mergeCell ref="F41:F42"/>
    <mergeCell ref="G41:G42"/>
    <mergeCell ref="C43:D43"/>
    <mergeCell ref="C44:D44"/>
    <mergeCell ref="C45:D45"/>
    <mergeCell ref="C46:D46"/>
    <mergeCell ref="C47:D47"/>
    <mergeCell ref="C48:D48"/>
    <mergeCell ref="I45:L45"/>
    <mergeCell ref="I46:L46"/>
    <mergeCell ref="I47:L47"/>
    <mergeCell ref="I48:L48"/>
    <mergeCell ref="C49:D49"/>
    <mergeCell ref="C50:D50"/>
    <mergeCell ref="E38:H38"/>
    <mergeCell ref="E40:H40"/>
    <mergeCell ref="H41:H42"/>
    <mergeCell ref="AK43:AN43"/>
    <mergeCell ref="AO43:AR43"/>
    <mergeCell ref="AC47:AF47"/>
    <mergeCell ref="AG47:AJ47"/>
    <mergeCell ref="AK47:AN47"/>
    <mergeCell ref="AO47:AR47"/>
    <mergeCell ref="AW44:AZ44"/>
    <mergeCell ref="AC41:AF42"/>
    <mergeCell ref="E39:H39"/>
    <mergeCell ref="I39:L39"/>
    <mergeCell ref="F3:H3"/>
    <mergeCell ref="F4:H4"/>
    <mergeCell ref="F5:H5"/>
    <mergeCell ref="E1:H1"/>
    <mergeCell ref="E2:H2"/>
    <mergeCell ref="F54:H54"/>
    <mergeCell ref="F55:H55"/>
    <mergeCell ref="F56:H56"/>
    <mergeCell ref="E54:E57"/>
    <mergeCell ref="M57:P57"/>
    <mergeCell ref="AW56:AZ56"/>
    <mergeCell ref="AS56:AV56"/>
    <mergeCell ref="AO54:AR54"/>
    <mergeCell ref="F57:H57"/>
    <mergeCell ref="Q53:T53"/>
    <mergeCell ref="U53:X53"/>
    <mergeCell ref="Y53:AB53"/>
    <mergeCell ref="AC53:AF53"/>
    <mergeCell ref="AG53:AJ53"/>
    <mergeCell ref="AS53:AV53"/>
    <mergeCell ref="AW53:AZ53"/>
    <mergeCell ref="AK62:AN62"/>
    <mergeCell ref="AO62:AR62"/>
    <mergeCell ref="AS62:AV62"/>
    <mergeCell ref="AW62:AZ62"/>
    <mergeCell ref="AO56:AR56"/>
    <mergeCell ref="I64:L64"/>
    <mergeCell ref="M64:P64"/>
    <mergeCell ref="Q64:T64"/>
    <mergeCell ref="U64:X64"/>
    <mergeCell ref="Y64:AB64"/>
    <mergeCell ref="AC64:AF64"/>
    <mergeCell ref="AG64:AJ64"/>
    <mergeCell ref="AK64:AN64"/>
    <mergeCell ref="AO64:AR64"/>
    <mergeCell ref="AS64:AV64"/>
    <mergeCell ref="AW64:AZ64"/>
    <mergeCell ref="Y63:AB63"/>
    <mergeCell ref="AC63:AF63"/>
    <mergeCell ref="AG63:AJ63"/>
    <mergeCell ref="AK63:AN63"/>
    <mergeCell ref="AO63:AR63"/>
    <mergeCell ref="AS63:AV63"/>
    <mergeCell ref="AW63:AZ63"/>
    <mergeCell ref="AS65:AV65"/>
    <mergeCell ref="AW65:AZ65"/>
    <mergeCell ref="AK66:AN66"/>
    <mergeCell ref="AO66:AR66"/>
    <mergeCell ref="AS66:AV66"/>
    <mergeCell ref="AW66:AZ66"/>
    <mergeCell ref="I65:L65"/>
    <mergeCell ref="M65:P65"/>
    <mergeCell ref="Q65:T65"/>
    <mergeCell ref="U65:X65"/>
    <mergeCell ref="Y65:AB65"/>
    <mergeCell ref="AC65:AF65"/>
    <mergeCell ref="AG65:AJ65"/>
    <mergeCell ref="AK65:AN65"/>
    <mergeCell ref="AO65:AR65"/>
    <mergeCell ref="I66:L66"/>
    <mergeCell ref="M66:P66"/>
    <mergeCell ref="Q66:T66"/>
    <mergeCell ref="U66:X66"/>
    <mergeCell ref="Y66:AB66"/>
    <mergeCell ref="AC66:AF66"/>
    <mergeCell ref="AG66:AJ66"/>
    <mergeCell ref="AS67:AV67"/>
    <mergeCell ref="AW67:AZ67"/>
    <mergeCell ref="I68:L68"/>
    <mergeCell ref="M68:P68"/>
    <mergeCell ref="Q68:T68"/>
    <mergeCell ref="U68:X68"/>
    <mergeCell ref="Y68:AB68"/>
    <mergeCell ref="AC68:AF68"/>
    <mergeCell ref="AG68:AJ68"/>
    <mergeCell ref="AK68:AN68"/>
    <mergeCell ref="AO68:AR68"/>
    <mergeCell ref="AS68:AV68"/>
    <mergeCell ref="AW68:AZ68"/>
    <mergeCell ref="I67:L67"/>
    <mergeCell ref="M67:P67"/>
    <mergeCell ref="Q67:T67"/>
    <mergeCell ref="U67:X67"/>
    <mergeCell ref="Y67:AB67"/>
    <mergeCell ref="AC67:AF67"/>
    <mergeCell ref="AG67:AJ67"/>
    <mergeCell ref="AK67:AN67"/>
    <mergeCell ref="AO67:AR67"/>
    <mergeCell ref="AS69:AV69"/>
    <mergeCell ref="AW69:AZ69"/>
    <mergeCell ref="I70:L70"/>
    <mergeCell ref="M70:P70"/>
    <mergeCell ref="Q70:T70"/>
    <mergeCell ref="U70:X70"/>
    <mergeCell ref="Y70:AB70"/>
    <mergeCell ref="AC70:AF70"/>
    <mergeCell ref="AG70:AJ70"/>
    <mergeCell ref="AK70:AN70"/>
    <mergeCell ref="AO70:AR70"/>
    <mergeCell ref="AS70:AV70"/>
    <mergeCell ref="AW70:AZ70"/>
    <mergeCell ref="I69:L69"/>
    <mergeCell ref="M69:P69"/>
    <mergeCell ref="Q69:T69"/>
    <mergeCell ref="U69:X69"/>
    <mergeCell ref="Y69:AB69"/>
    <mergeCell ref="AC69:AF69"/>
    <mergeCell ref="AG69:AJ69"/>
    <mergeCell ref="AK69:AN69"/>
    <mergeCell ref="AO69:AR69"/>
    <mergeCell ref="AS71:AV71"/>
    <mergeCell ref="AW71:AZ71"/>
    <mergeCell ref="I72:L72"/>
    <mergeCell ref="M72:P72"/>
    <mergeCell ref="Q72:T72"/>
    <mergeCell ref="U72:X72"/>
    <mergeCell ref="Y72:AB72"/>
    <mergeCell ref="AC72:AF72"/>
    <mergeCell ref="AG72:AJ72"/>
    <mergeCell ref="AK72:AN72"/>
    <mergeCell ref="AO72:AR72"/>
    <mergeCell ref="AS72:AV72"/>
    <mergeCell ref="AW72:AZ72"/>
    <mergeCell ref="I71:L71"/>
    <mergeCell ref="M71:P71"/>
    <mergeCell ref="Q71:T71"/>
    <mergeCell ref="U71:X71"/>
    <mergeCell ref="Y71:AB71"/>
    <mergeCell ref="AC71:AF71"/>
    <mergeCell ref="AG71:AJ71"/>
    <mergeCell ref="AK71:AN71"/>
    <mergeCell ref="AO71:AR71"/>
    <mergeCell ref="AS73:AV73"/>
    <mergeCell ref="AW73:AZ73"/>
    <mergeCell ref="I74:L74"/>
    <mergeCell ref="M74:P74"/>
    <mergeCell ref="Q74:T74"/>
    <mergeCell ref="U74:X74"/>
    <mergeCell ref="Y74:AB74"/>
    <mergeCell ref="AC74:AF74"/>
    <mergeCell ref="AG74:AJ74"/>
    <mergeCell ref="AK74:AN74"/>
    <mergeCell ref="AO74:AR74"/>
    <mergeCell ref="AS74:AV74"/>
    <mergeCell ref="AW74:AZ74"/>
    <mergeCell ref="I73:L73"/>
    <mergeCell ref="M73:P73"/>
    <mergeCell ref="Q73:T73"/>
    <mergeCell ref="U73:X73"/>
    <mergeCell ref="Y73:AB73"/>
    <mergeCell ref="AC73:AF73"/>
    <mergeCell ref="AG73:AJ73"/>
    <mergeCell ref="AK73:AN73"/>
    <mergeCell ref="AO73:AR73"/>
    <mergeCell ref="AS75:AV75"/>
    <mergeCell ref="AW75:AZ75"/>
    <mergeCell ref="I76:L76"/>
    <mergeCell ref="M76:P76"/>
    <mergeCell ref="Q76:T76"/>
    <mergeCell ref="U76:X76"/>
    <mergeCell ref="Y76:AB76"/>
    <mergeCell ref="AC76:AF76"/>
    <mergeCell ref="AG76:AJ76"/>
    <mergeCell ref="AK76:AN76"/>
    <mergeCell ref="AO76:AR76"/>
    <mergeCell ref="AS76:AV76"/>
    <mergeCell ref="AW76:AZ76"/>
    <mergeCell ref="I75:L75"/>
    <mergeCell ref="M75:P75"/>
    <mergeCell ref="Q75:T75"/>
    <mergeCell ref="U75:X75"/>
    <mergeCell ref="Y75:AB75"/>
    <mergeCell ref="AC75:AF75"/>
    <mergeCell ref="AG75:AJ75"/>
    <mergeCell ref="AK75:AN75"/>
    <mergeCell ref="AO75:AR75"/>
    <mergeCell ref="AS77:AV77"/>
    <mergeCell ref="AW77:AZ77"/>
    <mergeCell ref="I78:L78"/>
    <mergeCell ref="M78:P78"/>
    <mergeCell ref="Q78:T78"/>
    <mergeCell ref="U78:X78"/>
    <mergeCell ref="Y78:AB78"/>
    <mergeCell ref="AC78:AF78"/>
    <mergeCell ref="AG78:AJ78"/>
    <mergeCell ref="AK78:AN78"/>
    <mergeCell ref="AO78:AR78"/>
    <mergeCell ref="AS78:AV78"/>
    <mergeCell ref="AW78:AZ78"/>
    <mergeCell ref="I77:L77"/>
    <mergeCell ref="M77:P77"/>
    <mergeCell ref="Q77:T77"/>
    <mergeCell ref="U77:X77"/>
    <mergeCell ref="Y77:AB77"/>
    <mergeCell ref="AC77:AF77"/>
    <mergeCell ref="AG77:AJ77"/>
    <mergeCell ref="AK77:AN77"/>
    <mergeCell ref="AO77:AR77"/>
    <mergeCell ref="AS79:AV79"/>
    <mergeCell ref="AW79:AZ79"/>
    <mergeCell ref="I80:L80"/>
    <mergeCell ref="M80:P80"/>
    <mergeCell ref="Q80:T80"/>
    <mergeCell ref="U80:X80"/>
    <mergeCell ref="Y80:AB80"/>
    <mergeCell ref="AC80:AF80"/>
    <mergeCell ref="AG80:AJ80"/>
    <mergeCell ref="AK80:AN80"/>
    <mergeCell ref="AO80:AR80"/>
    <mergeCell ref="AS80:AV80"/>
    <mergeCell ref="AW80:AZ80"/>
    <mergeCell ref="I79:L79"/>
    <mergeCell ref="M79:P79"/>
    <mergeCell ref="Q79:T79"/>
    <mergeCell ref="U79:X79"/>
    <mergeCell ref="Y79:AB79"/>
    <mergeCell ref="AC79:AF79"/>
    <mergeCell ref="AG79:AJ79"/>
    <mergeCell ref="AK79:AN79"/>
    <mergeCell ref="AO79:AR79"/>
    <mergeCell ref="AS81:AV81"/>
    <mergeCell ref="AW81:AZ81"/>
    <mergeCell ref="I82:L82"/>
    <mergeCell ref="M82:P82"/>
    <mergeCell ref="Q82:T82"/>
    <mergeCell ref="U82:X82"/>
    <mergeCell ref="Y82:AB82"/>
    <mergeCell ref="AC82:AF82"/>
    <mergeCell ref="AG82:AJ82"/>
    <mergeCell ref="AK82:AN82"/>
    <mergeCell ref="AO82:AR82"/>
    <mergeCell ref="AS82:AV82"/>
    <mergeCell ref="AW82:AZ82"/>
    <mergeCell ref="I81:L81"/>
    <mergeCell ref="M81:P81"/>
    <mergeCell ref="Q81:T81"/>
    <mergeCell ref="U81:X81"/>
    <mergeCell ref="Y81:AB81"/>
    <mergeCell ref="AC81:AF81"/>
    <mergeCell ref="AG81:AJ81"/>
    <mergeCell ref="AK81:AN81"/>
    <mergeCell ref="AO81:AR81"/>
    <mergeCell ref="AS83:AV83"/>
    <mergeCell ref="AW83:AZ83"/>
    <mergeCell ref="I84:L84"/>
    <mergeCell ref="M84:P84"/>
    <mergeCell ref="Q84:T84"/>
    <mergeCell ref="U84:X84"/>
    <mergeCell ref="Y84:AB84"/>
    <mergeCell ref="AC84:AF84"/>
    <mergeCell ref="AG84:AJ84"/>
    <mergeCell ref="AK84:AN84"/>
    <mergeCell ref="AO84:AR84"/>
    <mergeCell ref="AS84:AV84"/>
    <mergeCell ref="AW84:AZ84"/>
    <mergeCell ref="I83:L83"/>
    <mergeCell ref="M83:P83"/>
    <mergeCell ref="Q83:T83"/>
    <mergeCell ref="U83:X83"/>
    <mergeCell ref="Y83:AB83"/>
    <mergeCell ref="AC83:AF83"/>
    <mergeCell ref="AG83:AJ83"/>
    <mergeCell ref="AK83:AN83"/>
    <mergeCell ref="AO83:AR83"/>
    <mergeCell ref="AS85:AV85"/>
    <mergeCell ref="AW85:AZ85"/>
    <mergeCell ref="I86:L86"/>
    <mergeCell ref="M86:P86"/>
    <mergeCell ref="Q86:T86"/>
    <mergeCell ref="U86:X86"/>
    <mergeCell ref="Y86:AB86"/>
    <mergeCell ref="AC86:AF86"/>
    <mergeCell ref="AG86:AJ86"/>
    <mergeCell ref="AK86:AN86"/>
    <mergeCell ref="AO86:AR86"/>
    <mergeCell ref="AS86:AV86"/>
    <mergeCell ref="AW86:AZ86"/>
    <mergeCell ref="I85:L85"/>
    <mergeCell ref="M85:P85"/>
    <mergeCell ref="Q85:T85"/>
    <mergeCell ref="U85:X85"/>
    <mergeCell ref="Y85:AB85"/>
    <mergeCell ref="AC85:AF85"/>
    <mergeCell ref="AG85:AJ85"/>
    <mergeCell ref="AK85:AN85"/>
    <mergeCell ref="AO85:AR85"/>
    <mergeCell ref="AS87:AV87"/>
    <mergeCell ref="AW87:AZ87"/>
    <mergeCell ref="I88:L88"/>
    <mergeCell ref="M88:P88"/>
    <mergeCell ref="Q88:T88"/>
    <mergeCell ref="U88:X88"/>
    <mergeCell ref="Y88:AB88"/>
    <mergeCell ref="AC88:AF88"/>
    <mergeCell ref="AG88:AJ88"/>
    <mergeCell ref="AK88:AN88"/>
    <mergeCell ref="AO88:AR88"/>
    <mergeCell ref="AS88:AV88"/>
    <mergeCell ref="AW88:AZ88"/>
    <mergeCell ref="I87:L87"/>
    <mergeCell ref="M87:P87"/>
    <mergeCell ref="Q87:T87"/>
    <mergeCell ref="U87:X87"/>
    <mergeCell ref="Y87:AB87"/>
    <mergeCell ref="AC87:AF87"/>
    <mergeCell ref="AG87:AJ87"/>
    <mergeCell ref="AK87:AN87"/>
    <mergeCell ref="AO87:AR87"/>
    <mergeCell ref="AS89:AV89"/>
    <mergeCell ref="AW89:AZ89"/>
    <mergeCell ref="I90:L90"/>
    <mergeCell ref="M90:P90"/>
    <mergeCell ref="Q90:T90"/>
    <mergeCell ref="U90:X90"/>
    <mergeCell ref="Y90:AB90"/>
    <mergeCell ref="AC90:AF90"/>
    <mergeCell ref="AG90:AJ90"/>
    <mergeCell ref="AK90:AN90"/>
    <mergeCell ref="AO90:AR90"/>
    <mergeCell ref="AS90:AV90"/>
    <mergeCell ref="AW90:AZ90"/>
    <mergeCell ref="I89:L89"/>
    <mergeCell ref="M89:P89"/>
    <mergeCell ref="Q89:T89"/>
    <mergeCell ref="U89:X89"/>
    <mergeCell ref="Y89:AB89"/>
    <mergeCell ref="AC89:AF89"/>
    <mergeCell ref="AG89:AJ89"/>
    <mergeCell ref="AK89:AN89"/>
    <mergeCell ref="AO89:AR89"/>
    <mergeCell ref="AS91:AV91"/>
    <mergeCell ref="AW91:AZ91"/>
    <mergeCell ref="I92:L92"/>
    <mergeCell ref="M92:P92"/>
    <mergeCell ref="Q92:T92"/>
    <mergeCell ref="U92:X92"/>
    <mergeCell ref="Y92:AB92"/>
    <mergeCell ref="AC92:AF92"/>
    <mergeCell ref="AG92:AJ92"/>
    <mergeCell ref="AK92:AN92"/>
    <mergeCell ref="AO92:AR92"/>
    <mergeCell ref="AS92:AV92"/>
    <mergeCell ref="AW92:AZ92"/>
    <mergeCell ref="I91:L91"/>
    <mergeCell ref="M91:P91"/>
    <mergeCell ref="Q91:T91"/>
    <mergeCell ref="U91:X91"/>
    <mergeCell ref="Y91:AB91"/>
    <mergeCell ref="AC91:AF91"/>
    <mergeCell ref="AG91:AJ91"/>
    <mergeCell ref="AK91:AN91"/>
    <mergeCell ref="AO91:AR91"/>
    <mergeCell ref="AS94:AV94"/>
    <mergeCell ref="AW94:AZ94"/>
    <mergeCell ref="I95:L95"/>
    <mergeCell ref="M95:P95"/>
    <mergeCell ref="Q95:T95"/>
    <mergeCell ref="U95:X95"/>
    <mergeCell ref="Y95:AB95"/>
    <mergeCell ref="AC95:AF95"/>
    <mergeCell ref="AG95:AJ95"/>
    <mergeCell ref="AK95:AN95"/>
    <mergeCell ref="AO95:AR95"/>
    <mergeCell ref="AS95:AV95"/>
    <mergeCell ref="AW95:AZ95"/>
    <mergeCell ref="I94:L94"/>
    <mergeCell ref="M94:P94"/>
    <mergeCell ref="Q94:T94"/>
    <mergeCell ref="U94:X94"/>
    <mergeCell ref="Y94:AB94"/>
    <mergeCell ref="AC94:AF94"/>
    <mergeCell ref="AG94:AJ94"/>
    <mergeCell ref="AK94:AN94"/>
    <mergeCell ref="AO94:AR94"/>
    <mergeCell ref="AS96:AV96"/>
    <mergeCell ref="AW96:AZ96"/>
    <mergeCell ref="I97:L97"/>
    <mergeCell ref="M97:P97"/>
    <mergeCell ref="Q97:T97"/>
    <mergeCell ref="U97:X97"/>
    <mergeCell ref="Y97:AB97"/>
    <mergeCell ref="AC97:AF97"/>
    <mergeCell ref="AG97:AJ97"/>
    <mergeCell ref="AK97:AN97"/>
    <mergeCell ref="AO97:AR97"/>
    <mergeCell ref="AS97:AV97"/>
    <mergeCell ref="AW97:AZ97"/>
    <mergeCell ref="I96:L96"/>
    <mergeCell ref="M96:P96"/>
    <mergeCell ref="Q96:T96"/>
    <mergeCell ref="U96:X96"/>
    <mergeCell ref="Y96:AB96"/>
    <mergeCell ref="AC96:AF96"/>
    <mergeCell ref="AG96:AJ96"/>
    <mergeCell ref="AK96:AN96"/>
    <mergeCell ref="AO96:AR96"/>
    <mergeCell ref="AS98:AV98"/>
    <mergeCell ref="AW98:AZ98"/>
    <mergeCell ref="I99:L99"/>
    <mergeCell ref="M99:P99"/>
    <mergeCell ref="Q99:T99"/>
    <mergeCell ref="U99:X99"/>
    <mergeCell ref="Y99:AB99"/>
    <mergeCell ref="AC99:AF99"/>
    <mergeCell ref="AG99:AJ99"/>
    <mergeCell ref="AK99:AN99"/>
    <mergeCell ref="AO99:AR99"/>
    <mergeCell ref="AS99:AV99"/>
    <mergeCell ref="AW99:AZ99"/>
    <mergeCell ref="I98:L98"/>
    <mergeCell ref="M98:P98"/>
    <mergeCell ref="Q98:T98"/>
    <mergeCell ref="U98:X98"/>
    <mergeCell ref="Y98:AB98"/>
    <mergeCell ref="AC98:AF98"/>
    <mergeCell ref="AG98:AJ98"/>
    <mergeCell ref="AK98:AN98"/>
    <mergeCell ref="AO98:AR98"/>
    <mergeCell ref="AS100:AV100"/>
    <mergeCell ref="AW100:AZ100"/>
    <mergeCell ref="I101:L101"/>
    <mergeCell ref="M101:P101"/>
    <mergeCell ref="Q101:T101"/>
    <mergeCell ref="U101:X101"/>
    <mergeCell ref="Y101:AB101"/>
    <mergeCell ref="AC101:AF101"/>
    <mergeCell ref="AG101:AJ101"/>
    <mergeCell ref="AK101:AN101"/>
    <mergeCell ref="AO101:AR101"/>
    <mergeCell ref="AS101:AV101"/>
    <mergeCell ref="AW101:AZ101"/>
    <mergeCell ref="I100:L100"/>
    <mergeCell ref="M100:P100"/>
    <mergeCell ref="Q100:T100"/>
    <mergeCell ref="U100:X100"/>
    <mergeCell ref="Y100:AB100"/>
    <mergeCell ref="AC100:AF100"/>
    <mergeCell ref="AG100:AJ100"/>
    <mergeCell ref="AK100:AN100"/>
    <mergeCell ref="AO100:AR100"/>
    <mergeCell ref="AS102:AV102"/>
    <mergeCell ref="AW102:AZ102"/>
    <mergeCell ref="I103:L103"/>
    <mergeCell ref="M103:P103"/>
    <mergeCell ref="Q103:T103"/>
    <mergeCell ref="U103:X103"/>
    <mergeCell ref="Y103:AB103"/>
    <mergeCell ref="AC103:AF103"/>
    <mergeCell ref="AG103:AJ103"/>
    <mergeCell ref="AK103:AN103"/>
    <mergeCell ref="AO103:AR103"/>
    <mergeCell ref="AS103:AV103"/>
    <mergeCell ref="AW103:AZ103"/>
    <mergeCell ref="I102:L102"/>
    <mergeCell ref="M102:P102"/>
    <mergeCell ref="Q102:T102"/>
    <mergeCell ref="U102:X102"/>
    <mergeCell ref="Y102:AB102"/>
    <mergeCell ref="AC102:AF102"/>
    <mergeCell ref="AG102:AJ102"/>
    <mergeCell ref="AK102:AN102"/>
    <mergeCell ref="AO102:AR102"/>
    <mergeCell ref="AS104:AV104"/>
    <mergeCell ref="AW104:AZ104"/>
    <mergeCell ref="I105:L105"/>
    <mergeCell ref="M105:P105"/>
    <mergeCell ref="Q105:T105"/>
    <mergeCell ref="U105:X105"/>
    <mergeCell ref="Y105:AB105"/>
    <mergeCell ref="AC105:AF105"/>
    <mergeCell ref="AG105:AJ105"/>
    <mergeCell ref="AK105:AN105"/>
    <mergeCell ref="AO105:AR105"/>
    <mergeCell ref="AS105:AV105"/>
    <mergeCell ref="AW105:AZ105"/>
    <mergeCell ref="I104:L104"/>
    <mergeCell ref="M104:P104"/>
    <mergeCell ref="Q104:T104"/>
    <mergeCell ref="U104:X104"/>
    <mergeCell ref="Y104:AB104"/>
    <mergeCell ref="AC104:AF104"/>
    <mergeCell ref="AG104:AJ104"/>
    <mergeCell ref="AK104:AN104"/>
    <mergeCell ref="AO104:AR104"/>
    <mergeCell ref="Y107:AB107"/>
    <mergeCell ref="AC107:AF107"/>
    <mergeCell ref="AG107:AJ107"/>
    <mergeCell ref="AK107:AN107"/>
    <mergeCell ref="AO107:AR107"/>
    <mergeCell ref="AS107:AV107"/>
    <mergeCell ref="AW107:AZ107"/>
    <mergeCell ref="I106:L106"/>
    <mergeCell ref="M106:P106"/>
    <mergeCell ref="Q106:T106"/>
    <mergeCell ref="U106:X106"/>
    <mergeCell ref="Y106:AB106"/>
    <mergeCell ref="AC106:AF106"/>
    <mergeCell ref="AG106:AJ106"/>
    <mergeCell ref="AK106:AN106"/>
    <mergeCell ref="AO106:AR106"/>
    <mergeCell ref="AO111:AR111"/>
    <mergeCell ref="AS108:AV108"/>
    <mergeCell ref="AW108:AZ108"/>
    <mergeCell ref="I110:L110"/>
    <mergeCell ref="M110:P110"/>
    <mergeCell ref="Q110:T110"/>
    <mergeCell ref="U110:X110"/>
    <mergeCell ref="Y110:AB110"/>
    <mergeCell ref="AC110:AF110"/>
    <mergeCell ref="AG110:AJ110"/>
    <mergeCell ref="AK110:AN110"/>
    <mergeCell ref="AO110:AR110"/>
    <mergeCell ref="AS110:AV110"/>
    <mergeCell ref="AW110:AZ110"/>
    <mergeCell ref="I108:L108"/>
    <mergeCell ref="M108:P108"/>
    <mergeCell ref="Q108:T108"/>
    <mergeCell ref="U108:X108"/>
    <mergeCell ref="Y108:AB108"/>
    <mergeCell ref="AC108:AF108"/>
    <mergeCell ref="AG108:AJ108"/>
    <mergeCell ref="AK108:AN108"/>
    <mergeCell ref="AO113:AR113"/>
    <mergeCell ref="AS111:AV111"/>
    <mergeCell ref="AW111:AZ111"/>
    <mergeCell ref="I112:L112"/>
    <mergeCell ref="M112:P112"/>
    <mergeCell ref="Q112:T112"/>
    <mergeCell ref="U112:X112"/>
    <mergeCell ref="Y112:AB112"/>
    <mergeCell ref="AC112:AF112"/>
    <mergeCell ref="AG112:AJ112"/>
    <mergeCell ref="AK112:AN112"/>
    <mergeCell ref="AO112:AR112"/>
    <mergeCell ref="AS112:AV112"/>
    <mergeCell ref="AW112:AZ112"/>
    <mergeCell ref="I111:L111"/>
    <mergeCell ref="M111:P111"/>
    <mergeCell ref="Q111:T111"/>
    <mergeCell ref="U111:X111"/>
    <mergeCell ref="Y111:AB111"/>
    <mergeCell ref="AC111:AF111"/>
    <mergeCell ref="AG111:AJ111"/>
    <mergeCell ref="AK111:AN111"/>
    <mergeCell ref="AO115:AR115"/>
    <mergeCell ref="AS113:AV113"/>
    <mergeCell ref="AW113:AZ113"/>
    <mergeCell ref="I114:L114"/>
    <mergeCell ref="M114:P114"/>
    <mergeCell ref="Q114:T114"/>
    <mergeCell ref="U114:X114"/>
    <mergeCell ref="Y114:AB114"/>
    <mergeCell ref="AC114:AF114"/>
    <mergeCell ref="AG114:AJ114"/>
    <mergeCell ref="AK114:AN114"/>
    <mergeCell ref="AO114:AR114"/>
    <mergeCell ref="AS114:AV114"/>
    <mergeCell ref="AW114:AZ114"/>
    <mergeCell ref="I113:L113"/>
    <mergeCell ref="M113:P113"/>
    <mergeCell ref="Q113:T113"/>
    <mergeCell ref="U113:X113"/>
    <mergeCell ref="Y113:AB113"/>
    <mergeCell ref="AC113:AF113"/>
    <mergeCell ref="AG113:AJ113"/>
    <mergeCell ref="AK113:AN113"/>
    <mergeCell ref="AO117:AR117"/>
    <mergeCell ref="AS115:AV115"/>
    <mergeCell ref="AW115:AZ115"/>
    <mergeCell ref="I116:L116"/>
    <mergeCell ref="M116:P116"/>
    <mergeCell ref="Q116:T116"/>
    <mergeCell ref="U116:X116"/>
    <mergeCell ref="Y116:AB116"/>
    <mergeCell ref="AC116:AF116"/>
    <mergeCell ref="AG116:AJ116"/>
    <mergeCell ref="AK116:AN116"/>
    <mergeCell ref="AO116:AR116"/>
    <mergeCell ref="AS116:AV116"/>
    <mergeCell ref="AW116:AZ116"/>
    <mergeCell ref="I115:L115"/>
    <mergeCell ref="M115:P115"/>
    <mergeCell ref="Q115:T115"/>
    <mergeCell ref="U115:X115"/>
    <mergeCell ref="Y115:AB115"/>
    <mergeCell ref="AC115:AF115"/>
    <mergeCell ref="AG115:AJ115"/>
    <mergeCell ref="AK115:AN115"/>
    <mergeCell ref="AO119:AR119"/>
    <mergeCell ref="AS117:AV117"/>
    <mergeCell ref="AW117:AZ117"/>
    <mergeCell ref="I118:L118"/>
    <mergeCell ref="M118:P118"/>
    <mergeCell ref="Q118:T118"/>
    <mergeCell ref="U118:X118"/>
    <mergeCell ref="Y118:AB118"/>
    <mergeCell ref="AC118:AF118"/>
    <mergeCell ref="AG118:AJ118"/>
    <mergeCell ref="AK118:AN118"/>
    <mergeCell ref="AO118:AR118"/>
    <mergeCell ref="AS118:AV118"/>
    <mergeCell ref="AW118:AZ118"/>
    <mergeCell ref="I117:L117"/>
    <mergeCell ref="M117:P117"/>
    <mergeCell ref="Q117:T117"/>
    <mergeCell ref="U117:X117"/>
    <mergeCell ref="Y117:AB117"/>
    <mergeCell ref="AC117:AF117"/>
    <mergeCell ref="AG117:AJ117"/>
    <mergeCell ref="AK117:AN117"/>
    <mergeCell ref="AO122:AR122"/>
    <mergeCell ref="AS119:AV119"/>
    <mergeCell ref="AW119:AZ119"/>
    <mergeCell ref="I120:L120"/>
    <mergeCell ref="M120:P120"/>
    <mergeCell ref="Q120:T120"/>
    <mergeCell ref="U120:X120"/>
    <mergeCell ref="Y120:AB120"/>
    <mergeCell ref="AC120:AF120"/>
    <mergeCell ref="AG120:AJ120"/>
    <mergeCell ref="AK120:AN120"/>
    <mergeCell ref="AO120:AR120"/>
    <mergeCell ref="AS120:AV120"/>
    <mergeCell ref="AW120:AZ120"/>
    <mergeCell ref="I119:L119"/>
    <mergeCell ref="M119:P119"/>
    <mergeCell ref="Q119:T119"/>
    <mergeCell ref="U119:X119"/>
    <mergeCell ref="Y119:AB119"/>
    <mergeCell ref="AC119:AF119"/>
    <mergeCell ref="AG119:AJ119"/>
    <mergeCell ref="AK119:AN119"/>
    <mergeCell ref="AO124:AR124"/>
    <mergeCell ref="AS122:AV122"/>
    <mergeCell ref="AW122:AZ122"/>
    <mergeCell ref="I123:L123"/>
    <mergeCell ref="M123:P123"/>
    <mergeCell ref="Q123:T123"/>
    <mergeCell ref="U123:X123"/>
    <mergeCell ref="Y123:AB123"/>
    <mergeCell ref="AC123:AF123"/>
    <mergeCell ref="AG123:AJ123"/>
    <mergeCell ref="AK123:AN123"/>
    <mergeCell ref="AO123:AR123"/>
    <mergeCell ref="AS123:AV123"/>
    <mergeCell ref="AW123:AZ123"/>
    <mergeCell ref="I122:L122"/>
    <mergeCell ref="M122:P122"/>
    <mergeCell ref="Q122:T122"/>
    <mergeCell ref="U122:X122"/>
    <mergeCell ref="Y122:AB122"/>
    <mergeCell ref="AC122:AF122"/>
    <mergeCell ref="AG122:AJ122"/>
    <mergeCell ref="AK122:AN122"/>
    <mergeCell ref="AO126:AR126"/>
    <mergeCell ref="AS124:AV124"/>
    <mergeCell ref="AW124:AZ124"/>
    <mergeCell ref="I125:L125"/>
    <mergeCell ref="M125:P125"/>
    <mergeCell ref="Q125:T125"/>
    <mergeCell ref="U125:X125"/>
    <mergeCell ref="Y125:AB125"/>
    <mergeCell ref="AC125:AF125"/>
    <mergeCell ref="AG125:AJ125"/>
    <mergeCell ref="AK125:AN125"/>
    <mergeCell ref="AO125:AR125"/>
    <mergeCell ref="AS125:AV125"/>
    <mergeCell ref="AW125:AZ125"/>
    <mergeCell ref="I124:L124"/>
    <mergeCell ref="M124:P124"/>
    <mergeCell ref="Q124:T124"/>
    <mergeCell ref="U124:X124"/>
    <mergeCell ref="Y124:AB124"/>
    <mergeCell ref="AC124:AF124"/>
    <mergeCell ref="AG124:AJ124"/>
    <mergeCell ref="AK124:AN124"/>
    <mergeCell ref="AO128:AR128"/>
    <mergeCell ref="AS126:AV126"/>
    <mergeCell ref="AW126:AZ126"/>
    <mergeCell ref="I127:L127"/>
    <mergeCell ref="M127:P127"/>
    <mergeCell ref="Q127:T127"/>
    <mergeCell ref="U127:X127"/>
    <mergeCell ref="Y127:AB127"/>
    <mergeCell ref="AC127:AF127"/>
    <mergeCell ref="AG127:AJ127"/>
    <mergeCell ref="AK127:AN127"/>
    <mergeCell ref="AO127:AR127"/>
    <mergeCell ref="AS127:AV127"/>
    <mergeCell ref="AW127:AZ127"/>
    <mergeCell ref="I126:L126"/>
    <mergeCell ref="M126:P126"/>
    <mergeCell ref="Q126:T126"/>
    <mergeCell ref="U126:X126"/>
    <mergeCell ref="Y126:AB126"/>
    <mergeCell ref="AC126:AF126"/>
    <mergeCell ref="AG126:AJ126"/>
    <mergeCell ref="AK126:AN126"/>
    <mergeCell ref="AO130:AR130"/>
    <mergeCell ref="AS128:AV128"/>
    <mergeCell ref="AW128:AZ128"/>
    <mergeCell ref="I129:L129"/>
    <mergeCell ref="M129:P129"/>
    <mergeCell ref="Q129:T129"/>
    <mergeCell ref="U129:X129"/>
    <mergeCell ref="Y129:AB129"/>
    <mergeCell ref="AC129:AF129"/>
    <mergeCell ref="AG129:AJ129"/>
    <mergeCell ref="AK129:AN129"/>
    <mergeCell ref="AO129:AR129"/>
    <mergeCell ref="AS129:AV129"/>
    <mergeCell ref="AW129:AZ129"/>
    <mergeCell ref="I128:L128"/>
    <mergeCell ref="M128:P128"/>
    <mergeCell ref="Q128:T128"/>
    <mergeCell ref="U128:X128"/>
    <mergeCell ref="Y128:AB128"/>
    <mergeCell ref="AC128:AF128"/>
    <mergeCell ref="AG128:AJ128"/>
    <mergeCell ref="AK128:AN128"/>
    <mergeCell ref="AO132:AR132"/>
    <mergeCell ref="AS130:AV130"/>
    <mergeCell ref="AW130:AZ130"/>
    <mergeCell ref="I131:L131"/>
    <mergeCell ref="M131:P131"/>
    <mergeCell ref="Q131:T131"/>
    <mergeCell ref="U131:X131"/>
    <mergeCell ref="Y131:AB131"/>
    <mergeCell ref="AC131:AF131"/>
    <mergeCell ref="AG131:AJ131"/>
    <mergeCell ref="AK131:AN131"/>
    <mergeCell ref="AO131:AR131"/>
    <mergeCell ref="AS131:AV131"/>
    <mergeCell ref="AW131:AZ131"/>
    <mergeCell ref="I130:L130"/>
    <mergeCell ref="M130:P130"/>
    <mergeCell ref="Q130:T130"/>
    <mergeCell ref="U130:X130"/>
    <mergeCell ref="Y130:AB130"/>
    <mergeCell ref="AC130:AF130"/>
    <mergeCell ref="AG130:AJ130"/>
    <mergeCell ref="AK130:AN130"/>
    <mergeCell ref="AO134:AR134"/>
    <mergeCell ref="AS132:AV132"/>
    <mergeCell ref="AW132:AZ132"/>
    <mergeCell ref="I133:L133"/>
    <mergeCell ref="M133:P133"/>
    <mergeCell ref="Q133:T133"/>
    <mergeCell ref="U133:X133"/>
    <mergeCell ref="Y133:AB133"/>
    <mergeCell ref="AC133:AF133"/>
    <mergeCell ref="AG133:AJ133"/>
    <mergeCell ref="AK133:AN133"/>
    <mergeCell ref="AO133:AR133"/>
    <mergeCell ref="AS133:AV133"/>
    <mergeCell ref="AW133:AZ133"/>
    <mergeCell ref="I132:L132"/>
    <mergeCell ref="M132:P132"/>
    <mergeCell ref="Q132:T132"/>
    <mergeCell ref="U132:X132"/>
    <mergeCell ref="Y132:AB132"/>
    <mergeCell ref="AC132:AF132"/>
    <mergeCell ref="AG132:AJ132"/>
    <mergeCell ref="AK132:AN132"/>
    <mergeCell ref="AO137:AR137"/>
    <mergeCell ref="AS134:AV134"/>
    <mergeCell ref="AW134:AZ134"/>
    <mergeCell ref="I135:L135"/>
    <mergeCell ref="M135:P135"/>
    <mergeCell ref="Q135:T135"/>
    <mergeCell ref="U135:X135"/>
    <mergeCell ref="Y135:AB135"/>
    <mergeCell ref="AC135:AF135"/>
    <mergeCell ref="AG135:AJ135"/>
    <mergeCell ref="AK135:AN135"/>
    <mergeCell ref="AO135:AR135"/>
    <mergeCell ref="AS135:AV135"/>
    <mergeCell ref="AW135:AZ135"/>
    <mergeCell ref="I134:L134"/>
    <mergeCell ref="M134:P134"/>
    <mergeCell ref="Q134:T134"/>
    <mergeCell ref="U134:X134"/>
    <mergeCell ref="Y134:AB134"/>
    <mergeCell ref="AC134:AF134"/>
    <mergeCell ref="AG134:AJ134"/>
    <mergeCell ref="AK134:AN134"/>
    <mergeCell ref="AO139:AR139"/>
    <mergeCell ref="AS137:AV137"/>
    <mergeCell ref="AW137:AZ137"/>
    <mergeCell ref="I138:L138"/>
    <mergeCell ref="M138:P138"/>
    <mergeCell ref="Q138:T138"/>
    <mergeCell ref="U138:X138"/>
    <mergeCell ref="Y138:AB138"/>
    <mergeCell ref="AC138:AF138"/>
    <mergeCell ref="AG138:AJ138"/>
    <mergeCell ref="AK138:AN138"/>
    <mergeCell ref="AO138:AR138"/>
    <mergeCell ref="AS138:AV138"/>
    <mergeCell ref="AW138:AZ138"/>
    <mergeCell ref="I137:L137"/>
    <mergeCell ref="M137:P137"/>
    <mergeCell ref="Q137:T137"/>
    <mergeCell ref="U137:X137"/>
    <mergeCell ref="Y137:AB137"/>
    <mergeCell ref="AC137:AF137"/>
    <mergeCell ref="AG137:AJ137"/>
    <mergeCell ref="AK137:AN137"/>
    <mergeCell ref="AO141:AR141"/>
    <mergeCell ref="AS139:AV139"/>
    <mergeCell ref="AW139:AZ139"/>
    <mergeCell ref="I140:L140"/>
    <mergeCell ref="M140:P140"/>
    <mergeCell ref="Q140:T140"/>
    <mergeCell ref="U140:X140"/>
    <mergeCell ref="Y140:AB140"/>
    <mergeCell ref="AC140:AF140"/>
    <mergeCell ref="AG140:AJ140"/>
    <mergeCell ref="AK140:AN140"/>
    <mergeCell ref="AO140:AR140"/>
    <mergeCell ref="AS140:AV140"/>
    <mergeCell ref="AW140:AZ140"/>
    <mergeCell ref="I139:L139"/>
    <mergeCell ref="M139:P139"/>
    <mergeCell ref="Q139:T139"/>
    <mergeCell ref="U139:X139"/>
    <mergeCell ref="Y139:AB139"/>
    <mergeCell ref="AC139:AF139"/>
    <mergeCell ref="AG139:AJ139"/>
    <mergeCell ref="AK139:AN139"/>
    <mergeCell ref="AO143:AR143"/>
    <mergeCell ref="AS141:AV141"/>
    <mergeCell ref="AW141:AZ141"/>
    <mergeCell ref="I142:L142"/>
    <mergeCell ref="M142:P142"/>
    <mergeCell ref="Q142:T142"/>
    <mergeCell ref="U142:X142"/>
    <mergeCell ref="Y142:AB142"/>
    <mergeCell ref="AC142:AF142"/>
    <mergeCell ref="AG142:AJ142"/>
    <mergeCell ref="AK142:AN142"/>
    <mergeCell ref="AO142:AR142"/>
    <mergeCell ref="AS142:AV142"/>
    <mergeCell ref="AW142:AZ142"/>
    <mergeCell ref="I141:L141"/>
    <mergeCell ref="M141:P141"/>
    <mergeCell ref="Q141:T141"/>
    <mergeCell ref="U141:X141"/>
    <mergeCell ref="Y141:AB141"/>
    <mergeCell ref="AC141:AF141"/>
    <mergeCell ref="AG141:AJ141"/>
    <mergeCell ref="AK141:AN141"/>
    <mergeCell ref="AO145:AR145"/>
    <mergeCell ref="AS143:AV143"/>
    <mergeCell ref="AW143:AZ143"/>
    <mergeCell ref="I144:L144"/>
    <mergeCell ref="M144:P144"/>
    <mergeCell ref="Q144:T144"/>
    <mergeCell ref="U144:X144"/>
    <mergeCell ref="Y144:AB144"/>
    <mergeCell ref="AC144:AF144"/>
    <mergeCell ref="AG144:AJ144"/>
    <mergeCell ref="AK144:AN144"/>
    <mergeCell ref="AO144:AR144"/>
    <mergeCell ref="AS144:AV144"/>
    <mergeCell ref="AW144:AZ144"/>
    <mergeCell ref="I143:L143"/>
    <mergeCell ref="M143:P143"/>
    <mergeCell ref="Q143:T143"/>
    <mergeCell ref="U143:X143"/>
    <mergeCell ref="Y143:AB143"/>
    <mergeCell ref="AC143:AF143"/>
    <mergeCell ref="AG143:AJ143"/>
    <mergeCell ref="AK143:AN143"/>
    <mergeCell ref="AS145:AV145"/>
    <mergeCell ref="AW145:AZ145"/>
    <mergeCell ref="H62:H77"/>
    <mergeCell ref="H78:H94"/>
    <mergeCell ref="H95:H111"/>
    <mergeCell ref="H112:H128"/>
    <mergeCell ref="H129:H145"/>
    <mergeCell ref="I93:L93"/>
    <mergeCell ref="M93:P93"/>
    <mergeCell ref="Q93:T93"/>
    <mergeCell ref="U93:X93"/>
    <mergeCell ref="Y93:AB93"/>
    <mergeCell ref="AC93:AF93"/>
    <mergeCell ref="AG93:AJ93"/>
    <mergeCell ref="AK93:AN93"/>
    <mergeCell ref="AO93:AR93"/>
    <mergeCell ref="AS93:AV93"/>
    <mergeCell ref="AW93:AZ93"/>
    <mergeCell ref="I145:L145"/>
    <mergeCell ref="M145:P145"/>
    <mergeCell ref="Q145:T145"/>
    <mergeCell ref="U145:X145"/>
    <mergeCell ref="Y145:AB145"/>
    <mergeCell ref="AC145:AF145"/>
    <mergeCell ref="AG145:AJ145"/>
    <mergeCell ref="AK145:AN145"/>
    <mergeCell ref="I109:L109"/>
    <mergeCell ref="M109:P109"/>
    <mergeCell ref="Q109:T109"/>
    <mergeCell ref="U109:X109"/>
    <mergeCell ref="Y109:AB109"/>
    <mergeCell ref="AC109:AF109"/>
    <mergeCell ref="AG109:AJ109"/>
    <mergeCell ref="AK109:AN109"/>
    <mergeCell ref="AO109:AR109"/>
    <mergeCell ref="AS109:AV109"/>
    <mergeCell ref="AW109:AZ109"/>
    <mergeCell ref="AO108:AR108"/>
    <mergeCell ref="AS106:AV106"/>
    <mergeCell ref="AW106:AZ106"/>
    <mergeCell ref="I107:L107"/>
    <mergeCell ref="M107:P107"/>
    <mergeCell ref="Q107:T107"/>
    <mergeCell ref="U107:X107"/>
    <mergeCell ref="AS121:AV121"/>
    <mergeCell ref="AW121:AZ121"/>
    <mergeCell ref="I136:L136"/>
    <mergeCell ref="M136:P136"/>
    <mergeCell ref="Q136:T136"/>
    <mergeCell ref="U136:X136"/>
    <mergeCell ref="Y136:AB136"/>
    <mergeCell ref="AC136:AF136"/>
    <mergeCell ref="AG136:AJ136"/>
    <mergeCell ref="AK136:AN136"/>
    <mergeCell ref="AO136:AR136"/>
    <mergeCell ref="AS136:AV136"/>
    <mergeCell ref="AW136:AZ136"/>
    <mergeCell ref="I121:L121"/>
    <mergeCell ref="M121:P121"/>
    <mergeCell ref="Q121:T121"/>
    <mergeCell ref="U121:X121"/>
    <mergeCell ref="Y121:AB121"/>
    <mergeCell ref="AC121:AF121"/>
    <mergeCell ref="AG121:AJ121"/>
    <mergeCell ref="AK121:AN121"/>
    <mergeCell ref="AO121:AR121"/>
    <mergeCell ref="AS147:AV147"/>
    <mergeCell ref="AW147:AZ147"/>
    <mergeCell ref="I147:L147"/>
    <mergeCell ref="M147:P147"/>
    <mergeCell ref="Q147:T147"/>
    <mergeCell ref="U147:X147"/>
    <mergeCell ref="Y147:AB147"/>
    <mergeCell ref="AC147:AF147"/>
    <mergeCell ref="AG147:AJ147"/>
    <mergeCell ref="AK147:AN147"/>
    <mergeCell ref="AO147:AR147"/>
    <mergeCell ref="I146:L146"/>
    <mergeCell ref="M146:P146"/>
    <mergeCell ref="Q146:T146"/>
    <mergeCell ref="U146:X146"/>
    <mergeCell ref="Y146:AB146"/>
    <mergeCell ref="AC146:AF146"/>
    <mergeCell ref="AG146:AJ146"/>
    <mergeCell ref="AK146:AN146"/>
    <mergeCell ref="AO146:AR146"/>
    <mergeCell ref="AS146:AV146"/>
    <mergeCell ref="AW146:AZ146"/>
    <mergeCell ref="E10:G11"/>
    <mergeCell ref="E19:G20"/>
    <mergeCell ref="E32:F33"/>
    <mergeCell ref="E34:F35"/>
    <mergeCell ref="G32:G33"/>
    <mergeCell ref="G34:G35"/>
    <mergeCell ref="G21:G22"/>
    <mergeCell ref="G23:G24"/>
    <mergeCell ref="G25:G26"/>
    <mergeCell ref="E21:F22"/>
    <mergeCell ref="E23:F24"/>
    <mergeCell ref="E25:F26"/>
    <mergeCell ref="E27:F28"/>
    <mergeCell ref="E12:F13"/>
    <mergeCell ref="E14:F15"/>
    <mergeCell ref="E16:F17"/>
    <mergeCell ref="G12:G13"/>
    <mergeCell ref="G14:G15"/>
    <mergeCell ref="G16:G17"/>
    <mergeCell ref="P19:P20"/>
    <mergeCell ref="O19:O20"/>
    <mergeCell ref="K23:L24"/>
    <mergeCell ref="AG39:AJ39"/>
    <mergeCell ref="AK39:AN39"/>
    <mergeCell ref="AO39:AR39"/>
    <mergeCell ref="AS39:AV39"/>
    <mergeCell ref="AW39:AZ39"/>
  </mergeCells>
  <dataValidations disablePrompts="1" count="3">
    <dataValidation type="list" allowBlank="1" showInputMessage="1" showErrorMessage="1" sqref="C37" xr:uid="{00000000-0002-0000-0000-000000000000}">
      <formula1>$BC$31:$BC$37</formula1>
    </dataValidation>
    <dataValidation type="list" allowBlank="1" showInputMessage="1" showErrorMessage="1" sqref="AP21:AQ22 AF19:AG20 AN7:AO8 Z21:AA22 AB19:AC20 AD25:AE26 AD17:AE18 AF15:AG16 AL9:AM10 AJ19:AK20 AJ15:AK16 AN19:AO20 AL17:AM18 AH13:AI14 AP9:AQ10 AT13:AU14 T35:U36 AV15:AW16 Z25:AA26 R33:S34 X23:Y24 X31:Y32 P35:Q36 T31:U32 V33:W34 N33:O34 P31:Q32 K23:L24 R29:S30 T27:U28 AT29:AU30 V29:W30 AX29:AY30 V25:W26 AJ27:AK28 AH33:AI34 AJ11:AK12 L35:M36 AF23:AG24 AV23:AW24 X35:Y36 Z33:AA34 AD33:AE34 AL33:AM34 AJ35:AK36 AF35:AG36 AP33:AQ34 AT33:AU34 AR35:AS36 AN35:AO36 AX33:AY34 AZ35:AZ36 AV35:AW36 AD21:AE22 AL21:AM22 Z29:AA30 AB31:AC32 AJ31:AK32 AN31:AO32 AR31:AS32 AV31:AW32 AZ31:AZ32 AB35:AC36 AD29:AE30 AH29:AI30 AL29:AM30 AP29:AQ30 AR27:AS28 AV27:AW28 AZ27:AZ28 X27:Y28 AB27:AC28 AF27:AG28 AH25:AI26 AL25:AM26 AP25:AQ26 AT25:AU26 AX25:AY26 AZ23:AZ24 AB23:AC24 AH21:AI22 AJ23:AK24 AN23:AO24 AR23:AS24 AT21:AU22 AX21:AY22 AR19:AS20 AV19:AW20 AZ19:AZ20 AP17:AQ18 AT17:AU18 AX17:AY18 AH17:AI18 AN15:AO16 AR15:AS16 AL13:AM14 AP13:AQ14 AR11:AS12 AN11:AO12 AF31:AG32 AN27:AO28" xr:uid="{00000000-0002-0000-0000-000001000000}">
      <formula1>$G$12:$G$14</formula1>
    </dataValidation>
    <dataValidation type="list" allowBlank="1" showInputMessage="1" showErrorMessage="1" sqref="I43:AZ51" xr:uid="{00000000-0002-0000-0000-000003000000}">
      <formula1>$G$21:$G$27</formula1>
    </dataValidation>
  </dataValidations>
  <printOptions horizontalCentered="1" verticalCentered="1"/>
  <pageMargins left="0.5" right="0.5" top="0.5" bottom="0.5" header="0" footer="0"/>
  <pageSetup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House of Quality</vt:lpstr>
      <vt:lpstr>'House of Quality'!Print_Area</vt:lpstr>
    </vt:vector>
  </TitlesOfParts>
  <Company>Start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Battles</dc:creator>
  <cp:lastModifiedBy>MacrosoftSpywareXP</cp:lastModifiedBy>
  <cp:lastPrinted>2020-10-07T01:15:47Z</cp:lastPrinted>
  <dcterms:created xsi:type="dcterms:W3CDTF">2010-04-21T17:36:06Z</dcterms:created>
  <dcterms:modified xsi:type="dcterms:W3CDTF">2020-10-07T01:25:59Z</dcterms:modified>
</cp:coreProperties>
</file>