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crosoftSpywareXP\Desktop\Academia\4. Senior Project\"/>
    </mc:Choice>
  </mc:AlternateContent>
  <xr:revisionPtr revIDLastSave="0" documentId="8_{B44C7F32-3CBF-41B1-8109-6FCC09900CAD}" xr6:coauthVersionLast="45" xr6:coauthVersionMax="45" xr10:uidLastSave="{00000000-0000-0000-0000-000000000000}"/>
  <bookViews>
    <workbookView xWindow="-120" yWindow="-120" windowWidth="28095" windowHeight="16440" xr2:uid="{00000000-000D-0000-FFFF-FFFF00000000}"/>
  </bookViews>
  <sheets>
    <sheet name="House of Quality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A37" i="1" l="1"/>
  <c r="CN37" i="1"/>
  <c r="CB37" i="1"/>
  <c r="BO37" i="1"/>
  <c r="BE38" i="1" a="1"/>
  <c r="BE38" i="1" s="1"/>
  <c r="BQ38" i="1" s="1"/>
  <c r="BF38" i="1" a="1"/>
  <c r="BF38" i="1" s="1"/>
  <c r="BR38" i="1" s="1"/>
  <c r="BG38" i="1" a="1"/>
  <c r="BG38" i="1" s="1"/>
  <c r="DE38" i="1" s="1"/>
  <c r="BH38" i="1" a="1"/>
  <c r="BH38" i="1" s="1"/>
  <c r="CS38" i="1" s="1"/>
  <c r="BI38" i="1" a="1"/>
  <c r="BI38" i="1" s="1"/>
  <c r="DG38" i="1" s="1"/>
  <c r="BJ38" i="1" a="1"/>
  <c r="BJ38" i="1" s="1"/>
  <c r="DH38" i="1" s="1"/>
  <c r="BK38" i="1" a="1"/>
  <c r="BK38" i="1" s="1"/>
  <c r="CV38" i="1" s="1"/>
  <c r="BL38" i="1" a="1"/>
  <c r="BL38" i="1" s="1"/>
  <c r="DJ38" i="1" s="1"/>
  <c r="BE39" i="1" a="1"/>
  <c r="BE39" i="1" s="1"/>
  <c r="BQ39" i="1" s="1"/>
  <c r="BF39" i="1" a="1"/>
  <c r="BF39" i="1" s="1"/>
  <c r="BR39" i="1" s="1"/>
  <c r="BG39" i="1" a="1"/>
  <c r="BG39" i="1" s="1"/>
  <c r="BS39" i="1" s="1"/>
  <c r="BH39" i="1" a="1"/>
  <c r="BH39" i="1" s="1"/>
  <c r="CS39" i="1" s="1"/>
  <c r="BI39" i="1" a="1"/>
  <c r="BI39" i="1" s="1"/>
  <c r="DG39" i="1" s="1"/>
  <c r="BJ39" i="1" a="1"/>
  <c r="BJ39" i="1" s="1"/>
  <c r="DH39" i="1" s="1"/>
  <c r="BK39" i="1" a="1"/>
  <c r="BK39" i="1" s="1"/>
  <c r="CV39" i="1" s="1"/>
  <c r="BL39" i="1" a="1"/>
  <c r="BL39" i="1" s="1"/>
  <c r="DJ39" i="1" s="1"/>
  <c r="BE40" i="1" a="1"/>
  <c r="BE40" i="1" s="1"/>
  <c r="DC40" i="1" s="1"/>
  <c r="BF40" i="1" a="1"/>
  <c r="BF40" i="1" s="1"/>
  <c r="CQ40" i="1" s="1"/>
  <c r="BG40" i="1" a="1"/>
  <c r="BG40" i="1" s="1"/>
  <c r="BS40" i="1" s="1"/>
  <c r="BH40" i="1" a="1"/>
  <c r="BH40" i="1" s="1"/>
  <c r="CS40" i="1" s="1"/>
  <c r="BI40" i="1" a="1"/>
  <c r="BI40" i="1" s="1"/>
  <c r="DG40" i="1" s="1"/>
  <c r="BJ40" i="1" a="1"/>
  <c r="BJ40" i="1" s="1"/>
  <c r="DH40" i="1" s="1"/>
  <c r="BK40" i="1" a="1"/>
  <c r="BK40" i="1" s="1"/>
  <c r="CV40" i="1" s="1"/>
  <c r="BL40" i="1" a="1"/>
  <c r="BL40" i="1" s="1"/>
  <c r="DJ40" i="1" s="1"/>
  <c r="BE41" i="1" a="1"/>
  <c r="BE41" i="1" s="1"/>
  <c r="DC41" i="1" s="1"/>
  <c r="BF41" i="1" a="1"/>
  <c r="BF41" i="1" s="1"/>
  <c r="CQ41" i="1" s="1"/>
  <c r="BG41" i="1" a="1"/>
  <c r="BG41" i="1" s="1"/>
  <c r="DE41" i="1" s="1"/>
  <c r="BH41" i="1" a="1"/>
  <c r="BH41" i="1" s="1"/>
  <c r="CS41" i="1" s="1"/>
  <c r="BI41" i="1" a="1"/>
  <c r="BI41" i="1" s="1"/>
  <c r="DG41" i="1" s="1"/>
  <c r="BJ41" i="1" a="1"/>
  <c r="BJ41" i="1" s="1"/>
  <c r="DH41" i="1" s="1"/>
  <c r="BK41" i="1" a="1"/>
  <c r="BK41" i="1" s="1"/>
  <c r="DI41" i="1" s="1"/>
  <c r="BL41" i="1" a="1"/>
  <c r="BL41" i="1" s="1"/>
  <c r="DJ41" i="1" s="1"/>
  <c r="BE42" i="1" a="1"/>
  <c r="BE42" i="1" s="1"/>
  <c r="DC42" i="1" s="1"/>
  <c r="BF42" i="1" a="1"/>
  <c r="BF42" i="1" s="1"/>
  <c r="CQ42" i="1" s="1"/>
  <c r="BG42" i="1" a="1"/>
  <c r="BG42" i="1" s="1"/>
  <c r="DE42" i="1" s="1"/>
  <c r="BH42" i="1" a="1"/>
  <c r="BH42" i="1" s="1"/>
  <c r="CS42" i="1" s="1"/>
  <c r="BI42" i="1" a="1"/>
  <c r="BI42" i="1" s="1"/>
  <c r="DG42" i="1" s="1"/>
  <c r="BJ42" i="1" a="1"/>
  <c r="BJ42" i="1" s="1"/>
  <c r="DH42" i="1" s="1"/>
  <c r="BK42" i="1" a="1"/>
  <c r="BK42" i="1" s="1"/>
  <c r="DI42" i="1" s="1"/>
  <c r="BL42" i="1" a="1"/>
  <c r="BL42" i="1" s="1"/>
  <c r="DJ42" i="1" s="1"/>
  <c r="BE43" i="1" a="1"/>
  <c r="BE43" i="1" s="1"/>
  <c r="DC43" i="1" s="1"/>
  <c r="BF43" i="1" a="1"/>
  <c r="BF43" i="1" s="1"/>
  <c r="BR43" i="1" s="1"/>
  <c r="BG43" i="1" a="1"/>
  <c r="BG43" i="1" s="1"/>
  <c r="DE43" i="1" s="1"/>
  <c r="BH43" i="1" a="1"/>
  <c r="BH43" i="1" s="1"/>
  <c r="CS43" i="1" s="1"/>
  <c r="BI43" i="1" a="1"/>
  <c r="BI43" i="1" s="1"/>
  <c r="DG43" i="1" s="1"/>
  <c r="BJ43" i="1" a="1"/>
  <c r="BJ43" i="1" s="1"/>
  <c r="BV43" i="1" s="1"/>
  <c r="BK43" i="1" a="1"/>
  <c r="BK43" i="1" s="1"/>
  <c r="BW43" i="1" s="1"/>
  <c r="BL43" i="1" a="1"/>
  <c r="BL43" i="1" s="1"/>
  <c r="DJ43" i="1" s="1"/>
  <c r="BE44" i="1" a="1"/>
  <c r="BE44" i="1" s="1"/>
  <c r="BQ44" i="1" s="1"/>
  <c r="BF44" i="1" a="1"/>
  <c r="BF44" i="1" s="1"/>
  <c r="BR44" i="1" s="1"/>
  <c r="BG44" i="1" a="1"/>
  <c r="BG44" i="1" s="1"/>
  <c r="BS44" i="1" s="1"/>
  <c r="BH44" i="1" a="1"/>
  <c r="BH44" i="1" s="1"/>
  <c r="CS44" i="1" s="1"/>
  <c r="BI44" i="1" a="1"/>
  <c r="BI44" i="1" s="1"/>
  <c r="DG44" i="1" s="1"/>
  <c r="BJ44" i="1" a="1"/>
  <c r="BJ44" i="1" s="1"/>
  <c r="DH44" i="1" s="1"/>
  <c r="BK44" i="1" a="1"/>
  <c r="BK44" i="1" s="1"/>
  <c r="BW44" i="1" s="1"/>
  <c r="BL44" i="1" a="1"/>
  <c r="BL44" i="1" s="1"/>
  <c r="BX44" i="1" s="1"/>
  <c r="BE45" i="1" a="1"/>
  <c r="BE45" i="1" s="1"/>
  <c r="BQ45" i="1" s="1"/>
  <c r="BF45" i="1" a="1"/>
  <c r="BF45" i="1" s="1"/>
  <c r="CQ45" i="1" s="1"/>
  <c r="BG45" i="1" a="1"/>
  <c r="BG45" i="1" s="1"/>
  <c r="BS45" i="1" s="1"/>
  <c r="BH45" i="1" a="1"/>
  <c r="BH45" i="1" s="1"/>
  <c r="CS45" i="1" s="1"/>
  <c r="BI45" i="1" a="1"/>
  <c r="BI45" i="1" s="1"/>
  <c r="DG45" i="1" s="1"/>
  <c r="BJ45" i="1" a="1"/>
  <c r="BJ45" i="1" s="1"/>
  <c r="DH45" i="1" s="1"/>
  <c r="BK45" i="1" a="1"/>
  <c r="BK45" i="1" s="1"/>
  <c r="DI45" i="1" s="1"/>
  <c r="BL45" i="1" a="1"/>
  <c r="BL45" i="1" s="1"/>
  <c r="BX45" i="1" s="1"/>
  <c r="BF37" i="1" a="1"/>
  <c r="BF37" i="1" s="1"/>
  <c r="BR37" i="1" s="1"/>
  <c r="BG37" i="1" a="1"/>
  <c r="BG37" i="1" s="1"/>
  <c r="BS37" i="1" s="1"/>
  <c r="BH37" i="1" a="1"/>
  <c r="BH37" i="1" s="1"/>
  <c r="BT37" i="1" s="1"/>
  <c r="BI37" i="1" a="1"/>
  <c r="BI37" i="1" s="1"/>
  <c r="CT37" i="1" s="1"/>
  <c r="BJ37" i="1" a="1"/>
  <c r="BJ37" i="1" s="1"/>
  <c r="DH37" i="1" s="1"/>
  <c r="BK37" i="1" a="1"/>
  <c r="BK37" i="1" s="1"/>
  <c r="DI37" i="1" s="1"/>
  <c r="BL37" i="1" a="1"/>
  <c r="BL37" i="1" s="1"/>
  <c r="BX37" i="1" s="1"/>
  <c r="BE37" i="1" a="1"/>
  <c r="BE37" i="1" s="1"/>
  <c r="BQ37" i="1" s="1"/>
  <c r="CP44" i="1" l="1"/>
  <c r="CJ40" i="1"/>
  <c r="CJ39" i="1"/>
  <c r="CU42" i="1"/>
  <c r="BW42" i="1"/>
  <c r="CU39" i="1"/>
  <c r="BV41" i="1"/>
  <c r="CU38" i="1"/>
  <c r="CF37" i="1"/>
  <c r="DD42" i="1"/>
  <c r="CE44" i="1"/>
  <c r="DI40" i="1"/>
  <c r="BR42" i="1"/>
  <c r="CE45" i="1"/>
  <c r="CE40" i="1"/>
  <c r="CP43" i="1"/>
  <c r="CP39" i="1"/>
  <c r="DD41" i="1"/>
  <c r="BQ41" i="1"/>
  <c r="BX40" i="1"/>
  <c r="CE43" i="1"/>
  <c r="CE39" i="1"/>
  <c r="CP42" i="1"/>
  <c r="CP38" i="1"/>
  <c r="DD40" i="1"/>
  <c r="BU45" i="1"/>
  <c r="BU40" i="1"/>
  <c r="CJ42" i="1"/>
  <c r="CJ38" i="1"/>
  <c r="CU41" i="1"/>
  <c r="DE37" i="1"/>
  <c r="DI39" i="1"/>
  <c r="BR45" i="1"/>
  <c r="BW39" i="1"/>
  <c r="CE42" i="1"/>
  <c r="CE38" i="1"/>
  <c r="CP41" i="1"/>
  <c r="DD45" i="1"/>
  <c r="DD39" i="1"/>
  <c r="BX43" i="1"/>
  <c r="BV38" i="1"/>
  <c r="CJ41" i="1"/>
  <c r="CQ37" i="1"/>
  <c r="CU40" i="1"/>
  <c r="DD44" i="1"/>
  <c r="DI38" i="1"/>
  <c r="BS43" i="1"/>
  <c r="BS38" i="1"/>
  <c r="CE41" i="1"/>
  <c r="CP45" i="1"/>
  <c r="CP40" i="1"/>
  <c r="DD43" i="1"/>
  <c r="DD38" i="1"/>
  <c r="BQ43" i="1"/>
  <c r="BW45" i="1"/>
  <c r="BV44" i="1"/>
  <c r="BU43" i="1"/>
  <c r="BT42" i="1"/>
  <c r="BS41" i="1"/>
  <c r="BR40" i="1"/>
  <c r="BX38" i="1"/>
  <c r="BW37" i="1"/>
  <c r="CH37" i="1"/>
  <c r="CG45" i="1"/>
  <c r="CG44" i="1"/>
  <c r="CG43" i="1"/>
  <c r="CG42" i="1"/>
  <c r="CG41" i="1"/>
  <c r="CG40" i="1"/>
  <c r="CG39" i="1"/>
  <c r="CG38" i="1"/>
  <c r="CS37" i="1"/>
  <c r="CS47" i="1" s="1"/>
  <c r="CR45" i="1"/>
  <c r="CR44" i="1"/>
  <c r="CR43" i="1"/>
  <c r="CR42" i="1"/>
  <c r="CR41" i="1"/>
  <c r="CR40" i="1"/>
  <c r="CR39" i="1"/>
  <c r="CR38" i="1"/>
  <c r="DG37" i="1"/>
  <c r="DG47" i="1" s="1"/>
  <c r="DF45" i="1"/>
  <c r="DF44" i="1"/>
  <c r="DF43" i="1"/>
  <c r="DF42" i="1"/>
  <c r="DF41" i="1"/>
  <c r="DF40" i="1"/>
  <c r="DF39" i="1"/>
  <c r="DF38" i="1"/>
  <c r="BQ42" i="1"/>
  <c r="BV45" i="1"/>
  <c r="BU44" i="1"/>
  <c r="BT43" i="1"/>
  <c r="BS42" i="1"/>
  <c r="BR41" i="1"/>
  <c r="BX39" i="1"/>
  <c r="BW38" i="1"/>
  <c r="BV37" i="1"/>
  <c r="CG37" i="1"/>
  <c r="CF45" i="1"/>
  <c r="CF44" i="1"/>
  <c r="CF43" i="1"/>
  <c r="CF42" i="1"/>
  <c r="CF41" i="1"/>
  <c r="CF40" i="1"/>
  <c r="CF39" i="1"/>
  <c r="CF38" i="1"/>
  <c r="CR37" i="1"/>
  <c r="CQ44" i="1"/>
  <c r="CQ43" i="1"/>
  <c r="CQ39" i="1"/>
  <c r="CQ38" i="1"/>
  <c r="DF37" i="1"/>
  <c r="DE45" i="1"/>
  <c r="DE44" i="1"/>
  <c r="DE40" i="1"/>
  <c r="DE39" i="1"/>
  <c r="BQ40" i="1"/>
  <c r="BT45" i="1"/>
  <c r="BX41" i="1"/>
  <c r="BW40" i="1"/>
  <c r="BV39" i="1"/>
  <c r="BU38" i="1"/>
  <c r="CE37" i="1"/>
  <c r="CD45" i="1"/>
  <c r="CD44" i="1"/>
  <c r="CD43" i="1"/>
  <c r="CD42" i="1"/>
  <c r="CD41" i="1"/>
  <c r="CD40" i="1"/>
  <c r="CD39" i="1"/>
  <c r="CD38" i="1"/>
  <c r="CW45" i="1"/>
  <c r="CW44" i="1"/>
  <c r="CW43" i="1"/>
  <c r="CW42" i="1"/>
  <c r="CW41" i="1"/>
  <c r="CW40" i="1"/>
  <c r="CW39" i="1"/>
  <c r="CW38" i="1"/>
  <c r="CP37" i="1"/>
  <c r="DD37" i="1"/>
  <c r="DC45" i="1"/>
  <c r="DC44" i="1"/>
  <c r="DC39" i="1"/>
  <c r="DC38" i="1"/>
  <c r="BU37" i="1"/>
  <c r="BX42" i="1"/>
  <c r="BW41" i="1"/>
  <c r="BV40" i="1"/>
  <c r="BU39" i="1"/>
  <c r="BT38" i="1"/>
  <c r="CD37" i="1"/>
  <c r="CK45" i="1"/>
  <c r="CK44" i="1"/>
  <c r="CK43" i="1"/>
  <c r="CK42" i="1"/>
  <c r="CK41" i="1"/>
  <c r="CK40" i="1"/>
  <c r="CK39" i="1"/>
  <c r="CK38" i="1"/>
  <c r="CW37" i="1"/>
  <c r="CV45" i="1"/>
  <c r="CV44" i="1"/>
  <c r="CV43" i="1"/>
  <c r="CV42" i="1"/>
  <c r="CV41" i="1"/>
  <c r="DC37" i="1"/>
  <c r="DJ45" i="1"/>
  <c r="DJ44" i="1"/>
  <c r="BT39" i="1"/>
  <c r="CK37" i="1"/>
  <c r="CJ45" i="1"/>
  <c r="CJ44" i="1"/>
  <c r="CJ43" i="1"/>
  <c r="CV37" i="1"/>
  <c r="CU45" i="1"/>
  <c r="CU44" i="1"/>
  <c r="CU43" i="1"/>
  <c r="DJ37" i="1"/>
  <c r="DI44" i="1"/>
  <c r="DI43" i="1"/>
  <c r="BT44" i="1"/>
  <c r="BV42" i="1"/>
  <c r="BU41" i="1"/>
  <c r="BT40" i="1"/>
  <c r="CJ37" i="1"/>
  <c r="CI45" i="1"/>
  <c r="CI44" i="1"/>
  <c r="CI43" i="1"/>
  <c r="CI42" i="1"/>
  <c r="CI41" i="1"/>
  <c r="CI40" i="1"/>
  <c r="CI39" i="1"/>
  <c r="CI38" i="1"/>
  <c r="CU37" i="1"/>
  <c r="CT45" i="1"/>
  <c r="CT44" i="1"/>
  <c r="CT43" i="1"/>
  <c r="CT42" i="1"/>
  <c r="CT41" i="1"/>
  <c r="CT40" i="1"/>
  <c r="CT39" i="1"/>
  <c r="CT38" i="1"/>
  <c r="DH43" i="1"/>
  <c r="DH47" i="1" s="1"/>
  <c r="BU42" i="1"/>
  <c r="BT41" i="1"/>
  <c r="CI37" i="1"/>
  <c r="CH45" i="1"/>
  <c r="CH44" i="1"/>
  <c r="CH43" i="1"/>
  <c r="CH42" i="1"/>
  <c r="CH41" i="1"/>
  <c r="CH40" i="1"/>
  <c r="CH39" i="1"/>
  <c r="CH38" i="1"/>
  <c r="BS47" i="1" l="1"/>
  <c r="CJ47" i="1"/>
  <c r="DI47" i="1"/>
  <c r="BR47" i="1"/>
  <c r="BU47" i="1"/>
  <c r="CF47" i="1"/>
  <c r="CI47" i="1"/>
  <c r="CV47" i="1"/>
  <c r="BT47" i="1"/>
  <c r="CQ47" i="1"/>
  <c r="BX47" i="1"/>
  <c r="DC47" i="1"/>
  <c r="DD47" i="1"/>
  <c r="BQ47" i="1"/>
  <c r="CP47" i="1"/>
  <c r="CT47" i="1"/>
  <c r="CU47" i="1"/>
  <c r="DJ47" i="1"/>
  <c r="CE47" i="1"/>
  <c r="DE47" i="1"/>
  <c r="CW47" i="1"/>
  <c r="BV47" i="1"/>
  <c r="CD47" i="1"/>
  <c r="BQ35" i="1" s="1"/>
  <c r="I48" i="1" s="1"/>
  <c r="DF47" i="1"/>
  <c r="CH47" i="1"/>
  <c r="BW47" i="1"/>
  <c r="CK47" i="1"/>
  <c r="CR47" i="1"/>
  <c r="CG47" i="1"/>
  <c r="BR35" i="1" l="1"/>
  <c r="M48" i="1" s="1"/>
  <c r="CC35" i="1"/>
  <c r="I50" i="1"/>
  <c r="I51" i="1"/>
  <c r="I49" i="1"/>
  <c r="BX35" i="1"/>
  <c r="BU35" i="1"/>
  <c r="BS35" i="1"/>
  <c r="Q50" i="1" s="1"/>
  <c r="BW35" i="1"/>
  <c r="AG48" i="1" s="1"/>
  <c r="BV35" i="1"/>
  <c r="BT35" i="1"/>
  <c r="U51" i="1" s="1"/>
  <c r="M49" i="1" l="1"/>
  <c r="M51" i="1"/>
  <c r="M50" i="1"/>
  <c r="Y48" i="1"/>
  <c r="Y51" i="1"/>
  <c r="Y50" i="1"/>
  <c r="AC50" i="1"/>
  <c r="AC51" i="1"/>
  <c r="AC49" i="1"/>
  <c r="AK50" i="1"/>
  <c r="AK48" i="1"/>
  <c r="AK51" i="1"/>
  <c r="AC48" i="1"/>
  <c r="U50" i="1"/>
  <c r="U48" i="1"/>
  <c r="AG50" i="1"/>
  <c r="AG49" i="1"/>
  <c r="AG51" i="1"/>
  <c r="AK49" i="1"/>
  <c r="Q51" i="1"/>
  <c r="Q48" i="1"/>
  <c r="Q49" i="1"/>
  <c r="U49" i="1"/>
  <c r="Y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<sst xmlns="http://schemas.openxmlformats.org/spreadsheetml/2006/main" count="244" uniqueCount="79">
  <si>
    <t>+</t>
  </si>
  <si>
    <t>Functional Requirements</t>
  </si>
  <si>
    <t>−</t>
  </si>
  <si>
    <t>●</t>
  </si>
  <si>
    <t>Customer Requirements (Explicit and Implicit)</t>
  </si>
  <si>
    <t>Direction of Improvement</t>
  </si>
  <si>
    <t>▽</t>
  </si>
  <si>
    <t>○</t>
  </si>
  <si>
    <t>▼</t>
  </si>
  <si>
    <t>▲</t>
  </si>
  <si>
    <t>◇</t>
  </si>
  <si>
    <t>Target</t>
  </si>
  <si>
    <t xml:space="preserve">Target    </t>
  </si>
  <si>
    <t xml:space="preserve">   Row #</t>
  </si>
  <si>
    <t>Maximize</t>
  </si>
  <si>
    <t>Minimize</t>
  </si>
  <si>
    <t>Relationships</t>
  </si>
  <si>
    <t>Strong</t>
  </si>
  <si>
    <t>Moderate</t>
  </si>
  <si>
    <t>Weak</t>
  </si>
  <si>
    <t>Correlations</t>
  </si>
  <si>
    <t>Positive</t>
  </si>
  <si>
    <t>Negative</t>
  </si>
  <si>
    <t>No Correlation</t>
  </si>
  <si>
    <t xml:space="preserve">0
</t>
  </si>
  <si>
    <t xml:space="preserve">1
</t>
  </si>
  <si>
    <t xml:space="preserve">2
</t>
  </si>
  <si>
    <t xml:space="preserve">3
</t>
  </si>
  <si>
    <t xml:space="preserve">4
</t>
  </si>
  <si>
    <t xml:space="preserve">5
</t>
  </si>
  <si>
    <t>Weatherproof</t>
  </si>
  <si>
    <t>Durability</t>
  </si>
  <si>
    <t>Accuracy of Measurements</t>
  </si>
  <si>
    <t>Attaches Universally</t>
  </si>
  <si>
    <t>Ease of Use</t>
  </si>
  <si>
    <t>App Functionality</t>
  </si>
  <si>
    <t>Ease of Setup</t>
  </si>
  <si>
    <t>Battery Life</t>
  </si>
  <si>
    <t>Hobby Cyclists</t>
  </si>
  <si>
    <t>Athletes</t>
  </si>
  <si>
    <t>Column #</t>
  </si>
  <si>
    <t>Trainers</t>
  </si>
  <si>
    <t>Competitive Cyclists</t>
  </si>
  <si>
    <t>Price</t>
  </si>
  <si>
    <t>Size (m3)</t>
  </si>
  <si>
    <t>Accuracy of Sensors</t>
  </si>
  <si>
    <t>Strava Fitness App</t>
  </si>
  <si>
    <t>Fitbit</t>
  </si>
  <si>
    <t>Stages Power Meter</t>
  </si>
  <si>
    <t>Battery Life (min.)</t>
  </si>
  <si>
    <t>Product Lifespan (months)</t>
  </si>
  <si>
    <t>Time to View Metrics in App (s)</t>
  </si>
  <si>
    <t>Steps to Attach to Bike</t>
  </si>
  <si>
    <t>Setup Steps before Use</t>
  </si>
  <si>
    <t>Cost of Materials($)</t>
  </si>
  <si>
    <t>sum</t>
  </si>
  <si>
    <t>ratio</t>
  </si>
  <si>
    <t>Threshold</t>
  </si>
  <si>
    <t>Competitive Cyclist</t>
  </si>
  <si>
    <t>Hobby Cyclist</t>
  </si>
  <si>
    <t>Relative Importance</t>
  </si>
  <si>
    <t>.05m*3</t>
  </si>
  <si>
    <t>.15m*3</t>
  </si>
  <si>
    <t>95%</t>
  </si>
  <si>
    <t>75%</t>
  </si>
  <si>
    <t>$500</t>
  </si>
  <si>
    <t>$700</t>
  </si>
  <si>
    <t>7</t>
  </si>
  <si>
    <t>16</t>
  </si>
  <si>
    <t>180 min</t>
  </si>
  <si>
    <t>60 min</t>
  </si>
  <si>
    <t>3 months</t>
  </si>
  <si>
    <t>1 month</t>
  </si>
  <si>
    <t>5s</t>
  </si>
  <si>
    <t>20s</t>
  </si>
  <si>
    <t>2</t>
  </si>
  <si>
    <t>6</t>
  </si>
  <si>
    <t>Project: Cycle Statistic Tool</t>
  </si>
  <si>
    <t>Jacob Hoffman &amp; Cody Klingler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</si>
</sst>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Century Schoolbook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Schoolbook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/>
      <right/>
      <top/>
      <bottom/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/>
      <top/>
      <bottom/>
      <diagonal style="thin">
        <color auto="1"/>
      </diagonal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4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left" vertical="center"/>
    </xf>
    <xf numFmtId="0" fontId="3" fillId="2" borderId="5" xfId="0" applyFont="1" applyFill="1" applyBorder="1"/>
    <xf numFmtId="0" fontId="3" fillId="2" borderId="2" xfId="0" applyFont="1" applyFill="1" applyBorder="1"/>
    <xf numFmtId="0" fontId="3" fillId="2" borderId="0" xfId="0" applyFont="1" applyFill="1" applyBorder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9" fontId="3" fillId="2" borderId="0" xfId="1" applyFont="1" applyFill="1"/>
    <xf numFmtId="0" fontId="2" fillId="3" borderId="3" xfId="0" applyFont="1" applyFill="1" applyBorder="1" applyAlignment="1">
      <alignment horizontal="center" vertical="center"/>
    </xf>
    <xf numFmtId="0" fontId="5" fillId="4" borderId="18" xfId="0" applyFont="1" applyFill="1" applyBorder="1"/>
    <xf numFmtId="0" fontId="5" fillId="4" borderId="12" xfId="0" applyFont="1" applyFill="1" applyBorder="1" applyAlignment="1">
      <alignment horizontal="center" vertical="center" textRotation="90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0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3" fillId="4" borderId="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 textRotation="90"/>
    </xf>
    <xf numFmtId="0" fontId="5" fillId="4" borderId="11" xfId="0" applyFont="1" applyFill="1" applyBorder="1" applyAlignment="1">
      <alignment horizontal="center" textRotation="90"/>
    </xf>
    <xf numFmtId="0" fontId="5" fillId="4" borderId="14" xfId="0" applyFont="1" applyFill="1" applyBorder="1" applyAlignment="1">
      <alignment horizontal="center" wrapText="1"/>
    </xf>
    <xf numFmtId="0" fontId="5" fillId="4" borderId="6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 textRotation="90"/>
    </xf>
    <xf numFmtId="0" fontId="2" fillId="5" borderId="11" xfId="0" applyFont="1" applyFill="1" applyBorder="1" applyAlignment="1">
      <alignment horizontal="center" textRotation="90"/>
    </xf>
    <xf numFmtId="0" fontId="2" fillId="5" borderId="1" xfId="0" applyFont="1" applyFill="1" applyBorder="1" applyAlignment="1">
      <alignment horizontal="center" textRotation="90"/>
    </xf>
    <xf numFmtId="0" fontId="5" fillId="4" borderId="13" xfId="0" applyFont="1" applyFill="1" applyBorder="1" applyAlignment="1">
      <alignment horizontal="center" wrapText="1"/>
    </xf>
    <xf numFmtId="0" fontId="5" fillId="4" borderId="8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9" fontId="3" fillId="2" borderId="3" xfId="1" applyFont="1" applyFill="1" applyBorder="1" applyAlignment="1">
      <alignment horizontal="center"/>
    </xf>
    <xf numFmtId="9" fontId="3" fillId="2" borderId="7" xfId="1" applyFont="1" applyFill="1" applyBorder="1" applyAlignment="1">
      <alignment horizontal="center"/>
    </xf>
    <xf numFmtId="9" fontId="3" fillId="2" borderId="4" xfId="1" applyFont="1" applyFill="1" applyBorder="1" applyAlignment="1">
      <alignment horizontal="center"/>
    </xf>
    <xf numFmtId="0" fontId="3" fillId="2" borderId="9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textRotation="90"/>
    </xf>
    <xf numFmtId="0" fontId="2" fillId="3" borderId="14" xfId="0" applyFont="1" applyFill="1" applyBorder="1" applyAlignment="1">
      <alignment horizontal="center" vertical="center" textRotation="90"/>
    </xf>
    <xf numFmtId="0" fontId="2" fillId="3" borderId="15" xfId="0" applyFont="1" applyFill="1" applyBorder="1" applyAlignment="1">
      <alignment horizontal="center" vertical="center" textRotation="90"/>
    </xf>
    <xf numFmtId="0" fontId="2" fillId="3" borderId="8" xfId="0" applyFont="1" applyFill="1" applyBorder="1" applyAlignment="1">
      <alignment horizontal="center" vertical="center" textRotation="90"/>
    </xf>
    <xf numFmtId="0" fontId="2" fillId="3" borderId="6" xfId="0" applyFont="1" applyFill="1" applyBorder="1" applyAlignment="1">
      <alignment horizontal="center" vertical="center" textRotation="90"/>
    </xf>
    <xf numFmtId="0" fontId="2" fillId="3" borderId="9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5" fillId="4" borderId="15" xfId="0" applyFont="1" applyFill="1" applyBorder="1" applyAlignment="1">
      <alignment horizontal="center" textRotation="90"/>
    </xf>
    <xf numFmtId="0" fontId="5" fillId="4" borderId="9" xfId="0" applyFont="1" applyFill="1" applyBorder="1" applyAlignment="1">
      <alignment horizontal="center" textRotation="90"/>
    </xf>
    <xf numFmtId="9" fontId="5" fillId="4" borderId="3" xfId="1" applyFont="1" applyFill="1" applyBorder="1" applyAlignment="1">
      <alignment horizontal="center"/>
    </xf>
    <xf numFmtId="9" fontId="5" fillId="4" borderId="4" xfId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 textRotation="90"/>
    </xf>
    <xf numFmtId="0" fontId="5" fillId="4" borderId="1" xfId="0" applyFont="1" applyFill="1" applyBorder="1" applyAlignment="1">
      <alignment horizontal="center" vertical="center" textRotation="90"/>
    </xf>
    <xf numFmtId="0" fontId="5" fillId="4" borderId="16" xfId="0" applyFont="1" applyFill="1" applyBorder="1" applyAlignment="1">
      <alignment horizontal="center" vertical="center" textRotation="90"/>
    </xf>
    <xf numFmtId="0" fontId="5" fillId="4" borderId="19" xfId="0" applyFont="1" applyFill="1" applyBorder="1" applyAlignment="1">
      <alignment horizontal="center" vertical="center" textRotation="90"/>
    </xf>
    <xf numFmtId="0" fontId="5" fillId="4" borderId="11" xfId="0" applyFont="1" applyFill="1" applyBorder="1" applyAlignment="1">
      <alignment horizontal="center" vertical="center" textRotation="90"/>
    </xf>
    <xf numFmtId="49" fontId="1" fillId="0" borderId="3" xfId="0" applyNumberFormat="1" applyFont="1" applyBorder="1" applyAlignment="1">
      <alignment horizontal="center" vertical="center" textRotation="90" wrapText="1"/>
    </xf>
    <xf numFmtId="49" fontId="3" fillId="0" borderId="7" xfId="0" applyNumberFormat="1" applyFont="1" applyBorder="1" applyAlignment="1">
      <alignment horizontal="center" vertical="center" textRotation="90" wrapText="1"/>
    </xf>
    <xf numFmtId="49" fontId="3" fillId="0" borderId="4" xfId="0" applyNumberFormat="1" applyFont="1" applyBorder="1" applyAlignment="1">
      <alignment horizontal="center" vertical="center" textRotation="90" wrapText="1"/>
    </xf>
    <xf numFmtId="0" fontId="1" fillId="2" borderId="0" xfId="0" applyFont="1" applyFill="1"/>
    <xf numFmtId="9" fontId="3" fillId="2" borderId="0" xfId="1" applyFont="1" applyFill="1" applyBorder="1"/>
    <xf numFmtId="0" fontId="6" fillId="2" borderId="0" xfId="0" applyFont="1" applyFill="1" applyBorder="1"/>
    <xf numFmtId="0" fontId="6" fillId="2" borderId="0" xfId="0" applyFont="1" applyFill="1" applyBorder="1" applyAlignment="1">
      <alignment horizontal="center"/>
    </xf>
    <xf numFmtId="9" fontId="6" fillId="2" borderId="0" xfId="1" applyFont="1" applyFill="1" applyBorder="1"/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Border="1"/>
    <xf numFmtId="9" fontId="7" fillId="2" borderId="0" xfId="1" applyFont="1" applyFill="1" applyBorder="1"/>
    <xf numFmtId="0" fontId="3" fillId="2" borderId="1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4" xfId="0" applyFont="1" applyFill="1" applyBorder="1"/>
    <xf numFmtId="0" fontId="3" fillId="2" borderId="8" xfId="0" applyFont="1" applyFill="1" applyBorder="1" applyAlignment="1">
      <alignment horizontal="center"/>
    </xf>
    <xf numFmtId="0" fontId="3" fillId="2" borderId="6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00"/>
      <color rgb="FF00CC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02919699362393E-2"/>
          <c:y val="2.3060796645702299E-2"/>
          <c:w val="0.83109788220090153"/>
          <c:h val="0.95790024855300437"/>
        </c:manualLayout>
      </c:layout>
      <c:scatterChart>
        <c:scatterStyle val="lineMarker"/>
        <c:varyColors val="0"/>
        <c:ser>
          <c:idx val="2"/>
          <c:order val="2"/>
          <c:tx>
            <c:v>Strava Fitness App</c:v>
          </c:tx>
          <c:spPr>
            <a:ln w="12700">
              <a:solidFill>
                <a:srgbClr val="00CC00"/>
              </a:solidFill>
            </a:ln>
          </c:spPr>
          <c:marker>
            <c:symbol val="circle"/>
            <c:size val="8"/>
            <c:spPr>
              <a:noFill/>
              <a:ln w="12700">
                <a:solidFill>
                  <a:srgbClr val="00CC00"/>
                </a:solidFill>
              </a:ln>
            </c:spPr>
          </c:marker>
          <c:xVal>
            <c:numRef>
              <c:f>'House of Quality'!$AO$37:$AO$45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5</c:v>
                </c:pt>
              </c:numCache>
            </c:numRef>
          </c:xVal>
          <c:yVal>
            <c:numRef>
              <c:f>'House of Quality'!$B$37:$B$45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1C-4EDA-9223-C1FDFB767D55}"/>
            </c:ext>
          </c:extLst>
        </c:ser>
        <c:ser>
          <c:idx val="3"/>
          <c:order val="3"/>
          <c:tx>
            <c:v>Fitbit</c:v>
          </c:tx>
          <c:spPr>
            <a:ln w="12700">
              <a:solidFill>
                <a:srgbClr val="FF9900"/>
              </a:solidFill>
            </a:ln>
          </c:spPr>
          <c:marker>
            <c:symbol val="x"/>
            <c:size val="8"/>
            <c:spPr>
              <a:ln>
                <a:solidFill>
                  <a:srgbClr val="FF9900"/>
                </a:solidFill>
              </a:ln>
            </c:spPr>
          </c:marker>
          <c:xVal>
            <c:numRef>
              <c:f>'House of Quality'!$AP$37:$AP$45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xVal>
          <c:yVal>
            <c:numRef>
              <c:f>'House of Quality'!$B$37:$B$45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1C-4EDA-9223-C1FDFB767D55}"/>
            </c:ext>
          </c:extLst>
        </c:ser>
        <c:ser>
          <c:idx val="4"/>
          <c:order val="4"/>
          <c:tx>
            <c:v>Stages Power Meter</c:v>
          </c:tx>
          <c:spPr>
            <a:ln w="12700">
              <a:solidFill>
                <a:srgbClr val="7030A0"/>
              </a:solidFill>
            </a:ln>
          </c:spPr>
          <c:marker>
            <c:symbol val="diamond"/>
            <c:size val="10"/>
            <c:spPr>
              <a:noFill/>
              <a:ln>
                <a:solidFill>
                  <a:srgbClr val="7030A0"/>
                </a:solidFill>
              </a:ln>
            </c:spPr>
          </c:marker>
          <c:xVal>
            <c:numRef>
              <c:f>'House of Quality'!$AQ$37:$AQ$45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</c:numCache>
            </c:numRef>
          </c:xVal>
          <c:yVal>
            <c:numRef>
              <c:f>'House of Quality'!$B$37:$B$45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1C-4EDA-9223-C1FDFB767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26336"/>
        <c:axId val="1676377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Our Product</c:v>
                </c:tx>
                <c:spPr>
                  <a:ln w="12700">
                    <a:solidFill>
                      <a:srgbClr val="FF0000"/>
                    </a:solidFill>
                  </a:ln>
                </c:spPr>
                <c:marker>
                  <c:symbol val="plus"/>
                  <c:size val="12"/>
                  <c:spPr>
                    <a:ln w="12700">
                      <a:solidFill>
                        <a:srgbClr val="FF0000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'House of Quality'!#REF!</c15:sqref>
                        </c15:formulaRef>
                      </c:ext>
                    </c:extLst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'House of Quality'!$B$37:$B$45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B1C-4EDA-9223-C1FDFB767D55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v>Competitor #1</c:v>
                </c:tx>
                <c:spPr>
                  <a:ln w="12700">
                    <a:solidFill>
                      <a:srgbClr val="002060"/>
                    </a:solidFill>
                  </a:ln>
                </c:spPr>
                <c:marker>
                  <c:symbol val="star"/>
                  <c:size val="10"/>
                  <c:spPr>
                    <a:ln w="12700">
                      <a:solidFill>
                        <a:srgbClr val="00206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'House of Quality'!#REF!</c15:sqref>
                        </c15:formulaRef>
                      </c:ext>
                    </c:extLst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'House of Quality'!$B$37:$B$45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B1C-4EDA-9223-C1FDFB767D55}"/>
                  </c:ext>
                </c:extLst>
              </c15:ser>
            </c15:filteredScatterSeries>
          </c:ext>
        </c:extLst>
      </c:scatterChart>
      <c:valAx>
        <c:axId val="131326336"/>
        <c:scaling>
          <c:orientation val="minMax"/>
          <c:max val="5"/>
          <c:min val="0"/>
        </c:scaling>
        <c:delete val="1"/>
        <c:axPos val="t"/>
        <c:numFmt formatCode="General" sourceLinked="1"/>
        <c:majorTickMark val="out"/>
        <c:minorTickMark val="none"/>
        <c:tickLblPos val="none"/>
        <c:crossAx val="167637760"/>
        <c:crossesAt val="1"/>
        <c:crossBetween val="midCat"/>
        <c:majorUnit val="1"/>
      </c:valAx>
      <c:valAx>
        <c:axId val="167637760"/>
        <c:scaling>
          <c:orientation val="maxMin"/>
          <c:max val="16"/>
          <c:min val="1"/>
        </c:scaling>
        <c:delete val="1"/>
        <c:axPos val="l"/>
        <c:numFmt formatCode="General" sourceLinked="1"/>
        <c:majorTickMark val="out"/>
        <c:minorTickMark val="none"/>
        <c:tickLblPos val="none"/>
        <c:crossAx val="131326336"/>
        <c:crossesAt val="0"/>
        <c:crossBetween val="midCat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14661426574920552"/>
          <c:y val="0.5977951775270377"/>
          <c:w val="0.75563976871370864"/>
          <c:h val="0.16422738914491294"/>
        </c:manualLayout>
      </c:layout>
      <c:overlay val="1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</xdr:colOff>
      <xdr:row>35</xdr:row>
      <xdr:rowOff>1142999</xdr:rowOff>
    </xdr:from>
    <xdr:to>
      <xdr:col>49</xdr:col>
      <xdr:colOff>33619</xdr:colOff>
      <xdr:row>50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S78"/>
  <sheetViews>
    <sheetView tabSelected="1" topLeftCell="A27" zoomScale="70" zoomScaleNormal="70" workbookViewId="0">
      <selection activeCell="BA41" sqref="BA41"/>
    </sheetView>
  </sheetViews>
  <sheetFormatPr defaultRowHeight="15" x14ac:dyDescent="0.25"/>
  <cols>
    <col min="1" max="1" width="9.140625" style="1"/>
    <col min="2" max="2" width="5" style="1" customWidth="1"/>
    <col min="3" max="4" width="14.140625" style="1" customWidth="1"/>
    <col min="5" max="8" width="6.42578125" style="1" customWidth="1"/>
    <col min="9" max="40" width="1.7109375" style="1" customWidth="1"/>
    <col min="41" max="43" width="5" style="1" customWidth="1"/>
    <col min="44" max="50" width="3.28515625" style="1" customWidth="1"/>
    <col min="51" max="52" width="9.140625" style="1"/>
    <col min="53" max="53" width="9.140625" style="5"/>
    <col min="54" max="119" width="6.140625" style="5" customWidth="1"/>
    <col min="120" max="149" width="9.140625" style="5"/>
    <col min="150" max="16384" width="9.140625" style="1"/>
  </cols>
  <sheetData>
    <row r="1" spans="5:127" ht="12.75" customHeight="1" x14ac:dyDescent="0.25">
      <c r="G1" s="2"/>
      <c r="Y1" s="5"/>
      <c r="Z1" s="5"/>
      <c r="AA1" s="5"/>
      <c r="AB1" s="5"/>
      <c r="AC1" s="5"/>
      <c r="AD1" s="5"/>
    </row>
    <row r="2" spans="5:127" ht="12.75" customHeight="1" x14ac:dyDescent="0.25">
      <c r="E2" s="91" t="s">
        <v>77</v>
      </c>
      <c r="G2" s="2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6"/>
      <c r="AF2" s="6"/>
      <c r="AG2" s="6"/>
      <c r="AH2" s="6"/>
      <c r="AI2" s="6"/>
      <c r="AJ2" s="6"/>
      <c r="AK2" s="6"/>
    </row>
    <row r="3" spans="5:127" ht="12.75" customHeight="1" x14ac:dyDescent="0.25">
      <c r="E3" s="91" t="s">
        <v>78</v>
      </c>
      <c r="G3" s="2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7"/>
      <c r="AA3" s="7"/>
      <c r="AB3" s="7"/>
      <c r="AC3" s="7"/>
      <c r="AD3" s="7"/>
      <c r="AE3" s="6"/>
      <c r="AF3" s="6"/>
      <c r="AG3" s="6"/>
      <c r="AH3" s="6"/>
      <c r="AI3" s="6"/>
      <c r="AJ3" s="6"/>
      <c r="AK3" s="6"/>
    </row>
    <row r="4" spans="5:127" ht="12.75" customHeight="1" x14ac:dyDescent="0.25">
      <c r="G4" s="2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7"/>
      <c r="AA4" s="7"/>
      <c r="AB4" s="7"/>
      <c r="AC4" s="7"/>
      <c r="AD4" s="7"/>
      <c r="AE4" s="6"/>
      <c r="AF4" s="6"/>
      <c r="AG4" s="6"/>
      <c r="AH4" s="6"/>
      <c r="AI4" s="6"/>
      <c r="AJ4" s="6"/>
      <c r="AK4" s="6"/>
    </row>
    <row r="5" spans="5:127" ht="9.9499999999999993" customHeight="1" x14ac:dyDescent="0.25">
      <c r="E5" s="40" t="s">
        <v>20</v>
      </c>
      <c r="F5" s="41"/>
      <c r="G5" s="41"/>
      <c r="H5" s="42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  <c r="Z5" s="7"/>
      <c r="AA5" s="7"/>
      <c r="AB5" s="7"/>
      <c r="AC5" s="7"/>
      <c r="AD5" s="7"/>
      <c r="AE5" s="6"/>
      <c r="AF5" s="6"/>
      <c r="AG5" s="6"/>
      <c r="AH5" s="6"/>
      <c r="AI5" s="6"/>
      <c r="AJ5" s="6"/>
      <c r="AK5" s="6"/>
    </row>
    <row r="6" spans="5:127" ht="9.9499999999999993" customHeight="1" x14ac:dyDescent="0.25">
      <c r="E6" s="43"/>
      <c r="F6" s="44"/>
      <c r="G6" s="44"/>
      <c r="H6" s="4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7"/>
      <c r="Z6" s="7"/>
      <c r="AA6" s="7"/>
      <c r="AB6" s="7"/>
      <c r="AC6" s="7"/>
      <c r="AD6" s="7"/>
      <c r="AE6" s="6"/>
      <c r="AF6" s="6"/>
      <c r="AG6" s="6"/>
      <c r="AH6" s="6"/>
      <c r="AI6" s="6"/>
      <c r="AJ6" s="6"/>
      <c r="AK6" s="6"/>
    </row>
    <row r="7" spans="5:127" ht="9.9499999999999993" customHeight="1" x14ac:dyDescent="0.25">
      <c r="E7" s="46" t="s">
        <v>21</v>
      </c>
      <c r="F7" s="47"/>
      <c r="G7" s="47"/>
      <c r="H7" s="48" t="s">
        <v>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7"/>
      <c r="AA7" s="7"/>
      <c r="AB7" s="7"/>
      <c r="AC7" s="7"/>
      <c r="AD7" s="7"/>
      <c r="AE7" s="6"/>
      <c r="AF7" s="6"/>
      <c r="AG7" s="6"/>
      <c r="AH7" s="6"/>
      <c r="AI7" s="6"/>
      <c r="AJ7" s="6"/>
      <c r="AK7" s="6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7"/>
      <c r="BQ7" s="97"/>
      <c r="BR7" s="97"/>
      <c r="BS7" s="97"/>
      <c r="BT7" s="97"/>
      <c r="BU7" s="97"/>
      <c r="BV7" s="97"/>
      <c r="BW7" s="97"/>
      <c r="BX7" s="97"/>
      <c r="BY7" s="97"/>
      <c r="BZ7" s="97"/>
      <c r="CA7" s="97"/>
      <c r="CB7" s="97"/>
      <c r="CC7" s="97"/>
      <c r="CD7" s="97"/>
      <c r="CE7" s="97"/>
      <c r="CF7" s="97"/>
      <c r="CG7" s="97"/>
      <c r="CH7" s="97"/>
      <c r="CI7" s="97"/>
      <c r="CJ7" s="97"/>
      <c r="CK7" s="97"/>
      <c r="CL7" s="97"/>
      <c r="CM7" s="97"/>
      <c r="CN7" s="97"/>
      <c r="CO7" s="97"/>
      <c r="CP7" s="97"/>
      <c r="CQ7" s="97"/>
      <c r="CR7" s="97"/>
      <c r="CS7" s="97"/>
      <c r="CT7" s="97"/>
      <c r="CU7" s="97"/>
      <c r="CV7" s="97"/>
      <c r="CW7" s="97"/>
      <c r="CX7" s="97"/>
      <c r="CY7" s="97"/>
      <c r="CZ7" s="97"/>
      <c r="DA7" s="97"/>
      <c r="DB7" s="97"/>
      <c r="DC7" s="97"/>
      <c r="DD7" s="97"/>
      <c r="DE7" s="97"/>
      <c r="DF7" s="97"/>
      <c r="DG7" s="97"/>
      <c r="DH7" s="97"/>
      <c r="DI7" s="97"/>
      <c r="DJ7" s="97"/>
      <c r="DK7" s="97"/>
      <c r="DL7" s="97"/>
      <c r="DM7" s="97"/>
      <c r="DN7" s="97"/>
      <c r="DO7" s="97"/>
      <c r="DP7" s="97"/>
      <c r="DQ7" s="97"/>
      <c r="DR7" s="97"/>
      <c r="DS7" s="97"/>
      <c r="DT7" s="97"/>
      <c r="DU7" s="97"/>
      <c r="DV7" s="97"/>
      <c r="DW7" s="97"/>
    </row>
    <row r="8" spans="5:127" ht="9.9499999999999993" customHeight="1" x14ac:dyDescent="0.25">
      <c r="E8" s="46"/>
      <c r="F8" s="47"/>
      <c r="G8" s="47"/>
      <c r="H8" s="4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7"/>
      <c r="Z8" s="7"/>
      <c r="AA8" s="7"/>
      <c r="AB8" s="7"/>
      <c r="AC8" s="7"/>
      <c r="AD8" s="7"/>
      <c r="AE8" s="6"/>
      <c r="AF8" s="6"/>
      <c r="AG8" s="6"/>
      <c r="AH8" s="6"/>
      <c r="AI8" s="6"/>
      <c r="AJ8" s="6"/>
      <c r="AK8" s="6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97"/>
      <c r="CF8" s="97"/>
      <c r="CG8" s="97"/>
      <c r="CH8" s="97"/>
      <c r="CI8" s="97"/>
      <c r="CJ8" s="97"/>
      <c r="CK8" s="97"/>
      <c r="CL8" s="97"/>
      <c r="CM8" s="97"/>
      <c r="CN8" s="97"/>
      <c r="CO8" s="97"/>
      <c r="CP8" s="97"/>
      <c r="CQ8" s="97"/>
      <c r="CR8" s="97"/>
      <c r="CS8" s="97"/>
      <c r="CT8" s="97"/>
      <c r="CU8" s="97"/>
      <c r="CV8" s="97"/>
      <c r="CW8" s="97"/>
      <c r="CX8" s="97"/>
      <c r="CY8" s="97"/>
      <c r="CZ8" s="97"/>
      <c r="DA8" s="97"/>
      <c r="DB8" s="97"/>
      <c r="DC8" s="97"/>
      <c r="DD8" s="97"/>
      <c r="DE8" s="97"/>
      <c r="DF8" s="97"/>
      <c r="DG8" s="97"/>
      <c r="DH8" s="97"/>
      <c r="DI8" s="97"/>
      <c r="DJ8" s="97"/>
      <c r="DK8" s="97"/>
      <c r="DL8" s="97"/>
      <c r="DM8" s="97"/>
      <c r="DN8" s="97"/>
      <c r="DO8" s="97"/>
      <c r="DP8" s="97"/>
      <c r="DQ8" s="97"/>
      <c r="DR8" s="97"/>
      <c r="DS8" s="97"/>
      <c r="DT8" s="97"/>
      <c r="DU8" s="97"/>
      <c r="DV8" s="97"/>
      <c r="DW8" s="97"/>
    </row>
    <row r="9" spans="5:127" ht="9.9499999999999993" customHeight="1" x14ac:dyDescent="0.25">
      <c r="E9" s="46" t="s">
        <v>22</v>
      </c>
      <c r="F9" s="47"/>
      <c r="G9" s="47"/>
      <c r="H9" s="48" t="s">
        <v>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7"/>
      <c r="Z9" s="7"/>
      <c r="AA9" s="7"/>
      <c r="AB9" s="7"/>
      <c r="AC9" s="7"/>
      <c r="AD9" s="7"/>
      <c r="AE9" s="6"/>
      <c r="AF9" s="6"/>
      <c r="AG9" s="6"/>
      <c r="AH9" s="6"/>
      <c r="AI9" s="6"/>
      <c r="AJ9" s="6"/>
      <c r="AK9" s="6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7"/>
      <c r="BQ9" s="97"/>
      <c r="BR9" s="97"/>
      <c r="BS9" s="97"/>
      <c r="BT9" s="97"/>
      <c r="BU9" s="97"/>
      <c r="BV9" s="97"/>
      <c r="BW9" s="97"/>
      <c r="BX9" s="97"/>
      <c r="BY9" s="97"/>
      <c r="BZ9" s="97"/>
      <c r="CA9" s="97"/>
      <c r="CB9" s="97"/>
      <c r="CC9" s="97"/>
      <c r="CD9" s="97"/>
      <c r="CE9" s="97"/>
      <c r="CF9" s="97"/>
      <c r="CG9" s="97"/>
      <c r="CH9" s="97"/>
      <c r="CI9" s="97"/>
      <c r="CJ9" s="97"/>
      <c r="CK9" s="97"/>
      <c r="CL9" s="97"/>
      <c r="CM9" s="97"/>
      <c r="CN9" s="97"/>
      <c r="CO9" s="97"/>
      <c r="CP9" s="97"/>
      <c r="CQ9" s="97"/>
      <c r="CR9" s="97"/>
      <c r="CS9" s="97"/>
      <c r="CT9" s="97"/>
      <c r="CU9" s="97"/>
      <c r="CV9" s="97"/>
      <c r="CW9" s="97"/>
      <c r="CX9" s="97"/>
      <c r="CY9" s="97"/>
      <c r="CZ9" s="97"/>
      <c r="DA9" s="97"/>
      <c r="DB9" s="97"/>
      <c r="DC9" s="97"/>
      <c r="DD9" s="97"/>
      <c r="DE9" s="97"/>
      <c r="DF9" s="97"/>
      <c r="DG9" s="97"/>
      <c r="DH9" s="97"/>
      <c r="DI9" s="97"/>
      <c r="DJ9" s="97"/>
      <c r="DK9" s="97"/>
      <c r="DL9" s="97"/>
      <c r="DM9" s="97"/>
      <c r="DN9" s="97"/>
      <c r="DO9" s="97"/>
      <c r="DP9" s="97"/>
      <c r="DQ9" s="97"/>
      <c r="DR9" s="97"/>
      <c r="DS9" s="97"/>
      <c r="DT9" s="97"/>
      <c r="DU9" s="97"/>
      <c r="DV9" s="97"/>
      <c r="DW9" s="97"/>
    </row>
    <row r="10" spans="5:127" ht="9.9499999999999993" customHeight="1" x14ac:dyDescent="0.25">
      <c r="E10" s="46"/>
      <c r="F10" s="47"/>
      <c r="G10" s="47"/>
      <c r="H10" s="4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7"/>
      <c r="Z10" s="7"/>
      <c r="AA10" s="7"/>
      <c r="AB10" s="7"/>
      <c r="AC10" s="7"/>
      <c r="AD10" s="7"/>
      <c r="AE10" s="6"/>
      <c r="AF10" s="6"/>
      <c r="AG10" s="6"/>
      <c r="AH10" s="6"/>
      <c r="AI10" s="6"/>
      <c r="AJ10" s="6"/>
      <c r="AK10" s="6"/>
      <c r="BE10" s="97"/>
      <c r="BF10" s="97"/>
      <c r="BG10" s="97"/>
      <c r="BH10" s="97"/>
      <c r="BI10" s="97"/>
      <c r="BJ10" s="97"/>
      <c r="BK10" s="97"/>
      <c r="BL10" s="97"/>
      <c r="BM10" s="97"/>
      <c r="BN10" s="97"/>
      <c r="BO10" s="97"/>
      <c r="BP10" s="97"/>
      <c r="BQ10" s="97"/>
      <c r="BR10" s="97"/>
      <c r="BS10" s="97"/>
      <c r="BT10" s="97"/>
      <c r="BU10" s="97"/>
      <c r="BV10" s="97"/>
      <c r="BW10" s="97"/>
      <c r="BX10" s="97"/>
      <c r="BY10" s="97"/>
      <c r="BZ10" s="97"/>
      <c r="CA10" s="97"/>
      <c r="CB10" s="97"/>
      <c r="CC10" s="97"/>
      <c r="CD10" s="97"/>
      <c r="CE10" s="97"/>
      <c r="CF10" s="97"/>
      <c r="CG10" s="97"/>
      <c r="CH10" s="97"/>
      <c r="CI10" s="97"/>
      <c r="CJ10" s="97"/>
      <c r="CK10" s="97"/>
      <c r="CL10" s="97"/>
      <c r="CM10" s="97"/>
      <c r="CN10" s="97"/>
      <c r="CO10" s="97"/>
      <c r="CP10" s="97"/>
      <c r="CQ10" s="97"/>
      <c r="CR10" s="97"/>
      <c r="CS10" s="97"/>
      <c r="CT10" s="97"/>
      <c r="CU10" s="97"/>
      <c r="CV10" s="97"/>
      <c r="CW10" s="97"/>
      <c r="CX10" s="97"/>
      <c r="CY10" s="97"/>
      <c r="CZ10" s="97"/>
      <c r="DA10" s="97"/>
      <c r="DB10" s="97"/>
      <c r="DC10" s="97"/>
      <c r="DD10" s="97"/>
      <c r="DE10" s="97"/>
      <c r="DF10" s="97"/>
      <c r="DG10" s="97"/>
      <c r="DH10" s="97"/>
      <c r="DI10" s="97"/>
      <c r="DJ10" s="97"/>
      <c r="DK10" s="97"/>
      <c r="DL10" s="97"/>
      <c r="DM10" s="97"/>
      <c r="DN10" s="97"/>
      <c r="DO10" s="97"/>
      <c r="DP10" s="97"/>
      <c r="DQ10" s="97"/>
      <c r="DR10" s="97"/>
      <c r="DS10" s="97"/>
      <c r="DT10" s="97"/>
      <c r="DU10" s="97"/>
      <c r="DV10" s="97"/>
      <c r="DW10" s="97"/>
    </row>
    <row r="11" spans="5:127" ht="9.9499999999999993" customHeight="1" x14ac:dyDescent="0.25">
      <c r="E11" s="46" t="s">
        <v>23</v>
      </c>
      <c r="F11" s="47"/>
      <c r="G11" s="47"/>
      <c r="H11" s="4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BE11" s="97"/>
      <c r="BF11" s="97"/>
      <c r="BG11" s="97"/>
      <c r="BH11" s="97"/>
      <c r="BI11" s="97"/>
      <c r="BJ11" s="97"/>
      <c r="BK11" s="97"/>
      <c r="BL11" s="97"/>
      <c r="BM11" s="97"/>
      <c r="BN11" s="97"/>
      <c r="BO11" s="97"/>
      <c r="BP11" s="97"/>
      <c r="BQ11" s="97"/>
      <c r="BR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G11" s="97"/>
      <c r="CH11" s="97"/>
      <c r="CI11" s="97"/>
      <c r="CJ11" s="97"/>
      <c r="CK11" s="97"/>
      <c r="CL11" s="97"/>
      <c r="CM11" s="97"/>
      <c r="CN11" s="97"/>
      <c r="CO11" s="97"/>
      <c r="CP11" s="97"/>
      <c r="CQ11" s="97"/>
      <c r="CR11" s="97"/>
      <c r="CS11" s="97"/>
      <c r="CT11" s="97"/>
      <c r="CU11" s="97"/>
      <c r="CV11" s="97"/>
      <c r="CW11" s="97"/>
      <c r="CX11" s="97"/>
      <c r="CY11" s="97"/>
      <c r="CZ11" s="97"/>
      <c r="DA11" s="97"/>
      <c r="DB11" s="97"/>
      <c r="DC11" s="97"/>
      <c r="DD11" s="97"/>
      <c r="DE11" s="97"/>
      <c r="DF11" s="97"/>
      <c r="DG11" s="97"/>
      <c r="DH11" s="97"/>
      <c r="DI11" s="97"/>
      <c r="DJ11" s="97"/>
      <c r="DK11" s="97"/>
      <c r="DL11" s="97"/>
      <c r="DM11" s="97"/>
      <c r="DN11" s="97"/>
      <c r="DO11" s="97"/>
      <c r="DP11" s="97"/>
      <c r="DQ11" s="97"/>
      <c r="DR11" s="97"/>
      <c r="DS11" s="97"/>
      <c r="DT11" s="97"/>
      <c r="DU11" s="97"/>
      <c r="DV11" s="97"/>
      <c r="DW11" s="97"/>
    </row>
    <row r="12" spans="5:127" ht="9.9499999999999993" customHeight="1" x14ac:dyDescent="0.25">
      <c r="E12" s="49"/>
      <c r="F12" s="50"/>
      <c r="G12" s="50"/>
      <c r="H12" s="5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K12" s="97"/>
      <c r="CL12" s="97"/>
      <c r="CM12" s="97"/>
      <c r="CN12" s="97"/>
      <c r="CO12" s="97"/>
      <c r="CP12" s="97"/>
      <c r="CQ12" s="97"/>
      <c r="CR12" s="97"/>
      <c r="CS12" s="97"/>
      <c r="CT12" s="97"/>
      <c r="CU12" s="97"/>
      <c r="CV12" s="97"/>
      <c r="CW12" s="97"/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7"/>
      <c r="DJ12" s="97"/>
      <c r="DK12" s="97"/>
      <c r="DL12" s="97"/>
      <c r="DM12" s="97"/>
      <c r="DN12" s="97"/>
      <c r="DO12" s="97"/>
      <c r="DP12" s="97"/>
      <c r="DQ12" s="97"/>
      <c r="DR12" s="97"/>
      <c r="DS12" s="97"/>
      <c r="DT12" s="97"/>
      <c r="DU12" s="97"/>
      <c r="DV12" s="97"/>
      <c r="DW12" s="97"/>
    </row>
    <row r="13" spans="5:127" ht="9.9499999999999993" customHeight="1" x14ac:dyDescent="0.25">
      <c r="G13" s="2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97"/>
      <c r="CF13" s="97"/>
      <c r="CG13" s="97"/>
      <c r="CH13" s="97"/>
      <c r="CI13" s="97"/>
      <c r="CJ13" s="97"/>
      <c r="CK13" s="97"/>
      <c r="CL13" s="97"/>
      <c r="CM13" s="97"/>
      <c r="CN13" s="97"/>
      <c r="CO13" s="97"/>
      <c r="CP13" s="97"/>
      <c r="CQ13" s="97"/>
      <c r="CR13" s="97"/>
      <c r="CS13" s="97"/>
      <c r="CT13" s="97"/>
      <c r="CU13" s="97"/>
      <c r="CV13" s="97"/>
      <c r="CW13" s="97"/>
      <c r="CX13" s="97"/>
      <c r="CY13" s="97"/>
      <c r="CZ13" s="97"/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  <c r="DL13" s="97"/>
      <c r="DM13" s="97"/>
      <c r="DN13" s="97"/>
      <c r="DO13" s="97"/>
      <c r="DP13" s="97"/>
      <c r="DQ13" s="97"/>
      <c r="DR13" s="97"/>
      <c r="DS13" s="97"/>
      <c r="DT13" s="97"/>
      <c r="DU13" s="97"/>
      <c r="DV13" s="97"/>
      <c r="DW13" s="97"/>
    </row>
    <row r="14" spans="5:127" ht="9.9499999999999993" customHeight="1" x14ac:dyDescent="0.25">
      <c r="E14" s="40" t="s">
        <v>16</v>
      </c>
      <c r="F14" s="41"/>
      <c r="G14" s="41"/>
      <c r="H14" s="4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6"/>
      <c r="AF14" s="6"/>
      <c r="AG14" s="6"/>
      <c r="AH14" s="6"/>
      <c r="AI14" s="6"/>
      <c r="AJ14" s="6"/>
      <c r="AK14" s="6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K14" s="97"/>
      <c r="CL14" s="97"/>
      <c r="CM14" s="97"/>
      <c r="CN14" s="97"/>
      <c r="CO14" s="97"/>
      <c r="CP14" s="97"/>
      <c r="CQ14" s="97"/>
      <c r="CR14" s="97"/>
      <c r="CS14" s="97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  <c r="DN14" s="97"/>
      <c r="DO14" s="97"/>
      <c r="DP14" s="97"/>
      <c r="DQ14" s="97"/>
      <c r="DR14" s="97"/>
      <c r="DS14" s="97"/>
      <c r="DT14" s="97"/>
      <c r="DU14" s="97"/>
      <c r="DV14" s="97"/>
      <c r="DW14" s="97"/>
    </row>
    <row r="15" spans="5:127" ht="9.9499999999999993" customHeight="1" x14ac:dyDescent="0.25">
      <c r="E15" s="43"/>
      <c r="F15" s="44"/>
      <c r="G15" s="44"/>
      <c r="H15" s="4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6"/>
      <c r="AF15" s="6"/>
      <c r="AG15" s="6"/>
      <c r="AH15" s="6"/>
      <c r="AI15" s="6"/>
      <c r="AJ15" s="6"/>
      <c r="AK15" s="6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K15" s="97"/>
      <c r="CL15" s="97"/>
      <c r="CM15" s="97"/>
      <c r="CN15" s="97"/>
      <c r="CO15" s="97"/>
      <c r="CP15" s="97"/>
      <c r="CQ15" s="97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</row>
    <row r="16" spans="5:127" ht="9.9499999999999993" customHeight="1" x14ac:dyDescent="0.25">
      <c r="E16" s="46" t="s">
        <v>17</v>
      </c>
      <c r="F16" s="47"/>
      <c r="G16" s="47"/>
      <c r="H16" s="48" t="s">
        <v>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7"/>
      <c r="CH16" s="97"/>
      <c r="CI16" s="97"/>
      <c r="CJ16" s="97"/>
      <c r="CK16" s="97"/>
      <c r="CL16" s="97"/>
      <c r="CM16" s="97"/>
      <c r="CN16" s="97"/>
      <c r="CO16" s="97"/>
      <c r="CP16" s="97"/>
      <c r="CQ16" s="97"/>
      <c r="CR16" s="97"/>
      <c r="CS16" s="97"/>
      <c r="CT16" s="97"/>
      <c r="CU16" s="97"/>
      <c r="CV16" s="97"/>
      <c r="CW16" s="97"/>
      <c r="CX16" s="97"/>
      <c r="CY16" s="97"/>
      <c r="CZ16" s="97"/>
      <c r="DA16" s="97"/>
      <c r="DB16" s="97"/>
      <c r="DC16" s="97"/>
      <c r="DD16" s="97"/>
      <c r="DE16" s="97"/>
      <c r="DF16" s="97"/>
      <c r="DG16" s="97"/>
      <c r="DH16" s="97"/>
      <c r="DI16" s="97"/>
      <c r="DJ16" s="97"/>
      <c r="DK16" s="97"/>
      <c r="DL16" s="97"/>
      <c r="DM16" s="97"/>
      <c r="DN16" s="97"/>
      <c r="DO16" s="97"/>
      <c r="DP16" s="97"/>
      <c r="DQ16" s="97"/>
      <c r="DR16" s="97"/>
      <c r="DS16" s="97"/>
      <c r="DT16" s="97"/>
      <c r="DU16" s="97"/>
      <c r="DV16" s="97"/>
      <c r="DW16" s="97"/>
    </row>
    <row r="17" spans="5:127" ht="9.9499999999999993" customHeight="1" x14ac:dyDescent="0.25">
      <c r="E17" s="46"/>
      <c r="F17" s="47"/>
      <c r="G17" s="47"/>
      <c r="H17" s="4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8"/>
      <c r="Y17" s="9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BE17" s="97"/>
      <c r="BF17" s="97"/>
      <c r="BG17" s="97"/>
      <c r="BH17" s="97"/>
      <c r="BI17" s="97"/>
      <c r="BJ17" s="97"/>
      <c r="BK17" s="97"/>
      <c r="BL17" s="97"/>
      <c r="BM17" s="97"/>
      <c r="BN17" s="97"/>
      <c r="BO17" s="97"/>
      <c r="BP17" s="97"/>
      <c r="BQ17" s="97"/>
      <c r="BR17" s="97"/>
      <c r="BS17" s="97"/>
      <c r="BT17" s="97"/>
      <c r="BU17" s="97"/>
      <c r="BV17" s="97"/>
      <c r="BW17" s="97"/>
      <c r="BX17" s="97"/>
      <c r="BY17" s="97"/>
      <c r="BZ17" s="97"/>
      <c r="CA17" s="97"/>
      <c r="CB17" s="97"/>
      <c r="CC17" s="97"/>
      <c r="CD17" s="97"/>
      <c r="CE17" s="97"/>
      <c r="CF17" s="97"/>
      <c r="CG17" s="97"/>
      <c r="CH17" s="97"/>
      <c r="CI17" s="97"/>
      <c r="CJ17" s="97"/>
      <c r="CK17" s="97"/>
      <c r="CL17" s="97"/>
      <c r="CM17" s="97"/>
      <c r="CN17" s="97"/>
      <c r="CO17" s="97"/>
      <c r="CP17" s="97"/>
      <c r="CQ17" s="97"/>
      <c r="CR17" s="97"/>
      <c r="CS17" s="97"/>
      <c r="CT17" s="97"/>
      <c r="CU17" s="97"/>
      <c r="CV17" s="97"/>
      <c r="CW17" s="97"/>
      <c r="CX17" s="97"/>
      <c r="CY17" s="97"/>
      <c r="CZ17" s="97"/>
      <c r="DA17" s="97"/>
      <c r="DB17" s="97"/>
      <c r="DC17" s="97"/>
      <c r="DD17" s="97"/>
      <c r="DE17" s="97"/>
      <c r="DF17" s="97"/>
      <c r="DG17" s="97"/>
      <c r="DH17" s="97"/>
      <c r="DI17" s="97"/>
      <c r="DJ17" s="97"/>
      <c r="DK17" s="97"/>
      <c r="DL17" s="97"/>
      <c r="DM17" s="97"/>
      <c r="DN17" s="97"/>
      <c r="DO17" s="97"/>
      <c r="DP17" s="97"/>
      <c r="DQ17" s="97"/>
      <c r="DR17" s="97"/>
      <c r="DS17" s="97"/>
      <c r="DT17" s="97"/>
      <c r="DU17" s="97"/>
      <c r="DV17" s="97"/>
      <c r="DW17" s="97"/>
    </row>
    <row r="18" spans="5:127" ht="9.9499999999999993" customHeight="1" x14ac:dyDescent="0.25">
      <c r="E18" s="46" t="s">
        <v>18</v>
      </c>
      <c r="F18" s="47"/>
      <c r="G18" s="47"/>
      <c r="H18" s="48" t="s">
        <v>7</v>
      </c>
      <c r="L18" s="6"/>
      <c r="M18" s="6"/>
      <c r="N18" s="6"/>
      <c r="O18" s="6"/>
      <c r="P18" s="6"/>
      <c r="Q18" s="6"/>
      <c r="R18" s="7"/>
      <c r="S18" s="7"/>
      <c r="T18" s="7"/>
      <c r="U18" s="7"/>
      <c r="V18" s="7"/>
      <c r="W18" s="8"/>
      <c r="X18" s="19"/>
      <c r="Y18" s="19"/>
      <c r="Z18" s="9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/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97"/>
      <c r="CF18" s="97"/>
      <c r="CG18" s="97"/>
      <c r="CH18" s="97"/>
      <c r="CI18" s="97"/>
      <c r="CJ18" s="97"/>
      <c r="CK18" s="97"/>
      <c r="CL18" s="97"/>
      <c r="CM18" s="97"/>
      <c r="CN18" s="97"/>
      <c r="CO18" s="97"/>
      <c r="CP18" s="97"/>
      <c r="CQ18" s="97"/>
      <c r="CR18" s="97"/>
      <c r="CS18" s="97"/>
      <c r="CT18" s="97"/>
      <c r="CU18" s="97"/>
      <c r="CV18" s="97"/>
      <c r="CW18" s="97"/>
      <c r="CX18" s="97"/>
      <c r="CY18" s="97"/>
      <c r="CZ18" s="97"/>
      <c r="DA18" s="97"/>
      <c r="DB18" s="97"/>
      <c r="DC18" s="97"/>
      <c r="DD18" s="97"/>
      <c r="DE18" s="97"/>
      <c r="DF18" s="97"/>
      <c r="DG18" s="97"/>
      <c r="DH18" s="97"/>
      <c r="DI18" s="97"/>
      <c r="DJ18" s="97"/>
      <c r="DK18" s="97"/>
      <c r="DL18" s="97"/>
      <c r="DM18" s="97"/>
      <c r="DN18" s="97"/>
      <c r="DO18" s="97"/>
      <c r="DP18" s="97"/>
      <c r="DQ18" s="97"/>
      <c r="DR18" s="97"/>
      <c r="DS18" s="97"/>
      <c r="DT18" s="97"/>
      <c r="DU18" s="97"/>
      <c r="DV18" s="97"/>
      <c r="DW18" s="97"/>
    </row>
    <row r="19" spans="5:127" ht="9.9499999999999993" customHeight="1" x14ac:dyDescent="0.25">
      <c r="E19" s="46"/>
      <c r="F19" s="47"/>
      <c r="G19" s="47"/>
      <c r="H19" s="48"/>
      <c r="L19" s="6"/>
      <c r="M19" s="6"/>
      <c r="N19" s="6"/>
      <c r="O19" s="6"/>
      <c r="P19" s="6"/>
      <c r="Q19" s="6"/>
      <c r="R19" s="7"/>
      <c r="S19" s="7"/>
      <c r="T19" s="7"/>
      <c r="U19" s="7"/>
      <c r="V19" s="8"/>
      <c r="W19" s="9"/>
      <c r="X19" s="19"/>
      <c r="Y19" s="19"/>
      <c r="Z19" s="8"/>
      <c r="AA19" s="9"/>
      <c r="AB19" s="7"/>
      <c r="AC19" s="7"/>
      <c r="AD19" s="7"/>
      <c r="AE19" s="6"/>
      <c r="AF19" s="6"/>
      <c r="AG19" s="6"/>
      <c r="AH19" s="6"/>
      <c r="AI19" s="6"/>
      <c r="AJ19" s="6"/>
      <c r="AK19" s="6"/>
      <c r="BE19" s="97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  <c r="BW19" s="97"/>
      <c r="BX19" s="97"/>
      <c r="BY19" s="97"/>
      <c r="BZ19" s="97"/>
      <c r="CA19" s="97"/>
      <c r="CB19" s="97"/>
      <c r="CC19" s="97"/>
      <c r="CD19" s="97"/>
      <c r="CE19" s="97"/>
      <c r="CF19" s="97"/>
      <c r="CG19" s="97"/>
      <c r="CH19" s="97"/>
      <c r="CI19" s="97"/>
      <c r="CJ19" s="97"/>
      <c r="CK19" s="97"/>
      <c r="CL19" s="97"/>
      <c r="CM19" s="97"/>
      <c r="CN19" s="97"/>
      <c r="CO19" s="97"/>
      <c r="CP19" s="97"/>
      <c r="CQ19" s="97"/>
      <c r="CR19" s="97"/>
      <c r="CS19" s="97"/>
      <c r="CT19" s="97"/>
      <c r="CU19" s="97"/>
      <c r="CV19" s="97"/>
      <c r="CW19" s="97"/>
      <c r="CX19" s="97"/>
      <c r="CY19" s="97"/>
      <c r="CZ19" s="97"/>
      <c r="DA19" s="97"/>
      <c r="DB19" s="97"/>
      <c r="DC19" s="97"/>
      <c r="DD19" s="97"/>
      <c r="DE19" s="97"/>
      <c r="DF19" s="97"/>
      <c r="DG19" s="97"/>
      <c r="DH19" s="97"/>
      <c r="DI19" s="97"/>
      <c r="DJ19" s="97"/>
      <c r="DK19" s="97"/>
      <c r="DL19" s="97"/>
      <c r="DM19" s="97"/>
      <c r="DN19" s="97"/>
      <c r="DO19" s="97"/>
      <c r="DP19" s="97"/>
      <c r="DQ19" s="97"/>
      <c r="DR19" s="97"/>
      <c r="DS19" s="97"/>
      <c r="DT19" s="97"/>
      <c r="DU19" s="97"/>
      <c r="DV19" s="97"/>
      <c r="DW19" s="97"/>
    </row>
    <row r="20" spans="5:127" ht="9.9499999999999993" customHeight="1" x14ac:dyDescent="0.25">
      <c r="E20" s="46" t="s">
        <v>19</v>
      </c>
      <c r="F20" s="47"/>
      <c r="G20" s="47"/>
      <c r="H20" s="48" t="s">
        <v>6</v>
      </c>
      <c r="L20" s="6"/>
      <c r="M20" s="6"/>
      <c r="N20" s="6"/>
      <c r="O20" s="6"/>
      <c r="P20" s="6"/>
      <c r="Q20" s="6"/>
      <c r="R20" s="7"/>
      <c r="S20" s="7"/>
      <c r="T20" s="7"/>
      <c r="U20" s="8"/>
      <c r="V20" s="19"/>
      <c r="W20" s="19"/>
      <c r="X20" s="9"/>
      <c r="Y20" s="8"/>
      <c r="Z20" s="19"/>
      <c r="AA20" s="19"/>
      <c r="AB20" s="9"/>
      <c r="AC20" s="7"/>
      <c r="AD20" s="7"/>
      <c r="AE20" s="6"/>
      <c r="AF20" s="6"/>
      <c r="AG20" s="6"/>
      <c r="AH20" s="6"/>
      <c r="AI20" s="6"/>
      <c r="AJ20" s="6"/>
      <c r="AK20" s="6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7"/>
      <c r="BS20" s="97"/>
      <c r="BT20" s="97"/>
      <c r="BU20" s="97"/>
      <c r="BV20" s="97"/>
      <c r="BW20" s="97"/>
      <c r="BX20" s="97"/>
      <c r="BY20" s="97"/>
      <c r="BZ20" s="97"/>
      <c r="CA20" s="97"/>
      <c r="CB20" s="97"/>
      <c r="CC20" s="97"/>
      <c r="CD20" s="97"/>
      <c r="CE20" s="97"/>
      <c r="CF20" s="97"/>
      <c r="CG20" s="97"/>
      <c r="CH20" s="97"/>
      <c r="CI20" s="97"/>
      <c r="CJ20" s="97"/>
      <c r="CK20" s="97"/>
      <c r="CL20" s="97"/>
      <c r="CM20" s="97"/>
      <c r="CN20" s="97"/>
      <c r="CO20" s="97"/>
      <c r="CP20" s="97"/>
      <c r="CQ20" s="97"/>
      <c r="CR20" s="97"/>
      <c r="CS20" s="97"/>
      <c r="CT20" s="97"/>
      <c r="CU20" s="97"/>
      <c r="CV20" s="97"/>
      <c r="CW20" s="97"/>
      <c r="CX20" s="97"/>
      <c r="CY20" s="97"/>
      <c r="CZ20" s="97"/>
      <c r="DA20" s="97"/>
      <c r="DB20" s="97"/>
      <c r="DC20" s="97"/>
      <c r="DD20" s="97"/>
      <c r="DE20" s="97"/>
      <c r="DF20" s="97"/>
      <c r="DG20" s="97"/>
      <c r="DH20" s="97"/>
      <c r="DI20" s="97"/>
      <c r="DJ20" s="97"/>
      <c r="DK20" s="97"/>
      <c r="DL20" s="97"/>
      <c r="DM20" s="97"/>
      <c r="DN20" s="97"/>
      <c r="DO20" s="97"/>
      <c r="DP20" s="97"/>
      <c r="DQ20" s="97"/>
      <c r="DR20" s="97"/>
      <c r="DS20" s="97"/>
      <c r="DT20" s="97"/>
      <c r="DU20" s="97"/>
      <c r="DV20" s="97"/>
      <c r="DW20" s="97"/>
    </row>
    <row r="21" spans="5:127" ht="9.9499999999999993" customHeight="1" x14ac:dyDescent="0.25">
      <c r="E21" s="49"/>
      <c r="F21" s="50"/>
      <c r="G21" s="50"/>
      <c r="H21" s="51"/>
      <c r="L21" s="6"/>
      <c r="M21" s="6"/>
      <c r="N21" s="6"/>
      <c r="O21" s="6"/>
      <c r="P21" s="6"/>
      <c r="Q21" s="6"/>
      <c r="R21" s="7"/>
      <c r="S21" s="7"/>
      <c r="T21" s="8"/>
      <c r="U21" s="9"/>
      <c r="V21" s="19"/>
      <c r="W21" s="19"/>
      <c r="X21" s="8"/>
      <c r="Y21" s="9"/>
      <c r="Z21" s="19"/>
      <c r="AA21" s="19"/>
      <c r="AB21" s="8"/>
      <c r="AC21" s="9"/>
      <c r="AD21" s="7"/>
      <c r="AE21" s="6"/>
      <c r="AF21" s="6"/>
      <c r="AG21" s="6"/>
      <c r="AH21" s="6"/>
      <c r="AI21" s="6"/>
      <c r="AJ21" s="6"/>
      <c r="AK21" s="6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/>
      <c r="CE21" s="97"/>
      <c r="CF21" s="97"/>
      <c r="CG21" s="97"/>
      <c r="CH21" s="97"/>
      <c r="CI21" s="97"/>
      <c r="CJ21" s="97"/>
      <c r="CK21" s="97"/>
      <c r="CL21" s="97"/>
      <c r="CM21" s="97"/>
      <c r="CN21" s="97"/>
      <c r="CO21" s="97"/>
      <c r="CP21" s="97"/>
      <c r="CQ21" s="97"/>
      <c r="CR21" s="97"/>
      <c r="CS21" s="97"/>
      <c r="CT21" s="97"/>
      <c r="CU21" s="97"/>
      <c r="CV21" s="97"/>
      <c r="CW21" s="97"/>
      <c r="CX21" s="97"/>
      <c r="CY21" s="97"/>
      <c r="CZ21" s="97"/>
      <c r="DA21" s="97"/>
      <c r="DB21" s="97"/>
      <c r="DC21" s="97"/>
      <c r="DD21" s="97"/>
      <c r="DE21" s="97"/>
      <c r="DF21" s="97"/>
      <c r="DG21" s="97"/>
      <c r="DH21" s="97"/>
      <c r="DI21" s="97"/>
      <c r="DJ21" s="97"/>
      <c r="DK21" s="97"/>
      <c r="DL21" s="97"/>
      <c r="DM21" s="97"/>
      <c r="DN21" s="97"/>
      <c r="DO21" s="97"/>
      <c r="DP21" s="97"/>
      <c r="DQ21" s="97"/>
      <c r="DR21" s="97"/>
      <c r="DS21" s="97"/>
      <c r="DT21" s="97"/>
      <c r="DU21" s="97"/>
      <c r="DV21" s="97"/>
      <c r="DW21" s="97"/>
    </row>
    <row r="22" spans="5:127" ht="9.9499999999999993" customHeight="1" x14ac:dyDescent="0.25">
      <c r="G22" s="2"/>
      <c r="L22" s="6"/>
      <c r="M22" s="6"/>
      <c r="N22" s="6"/>
      <c r="O22" s="6"/>
      <c r="P22" s="7"/>
      <c r="Q22" s="7"/>
      <c r="R22" s="7"/>
      <c r="S22" s="8"/>
      <c r="T22" s="19" t="s">
        <v>2</v>
      </c>
      <c r="U22" s="19"/>
      <c r="V22" s="9"/>
      <c r="W22" s="8"/>
      <c r="X22" s="19"/>
      <c r="Y22" s="19"/>
      <c r="Z22" s="9"/>
      <c r="AA22" s="8"/>
      <c r="AB22" s="19"/>
      <c r="AC22" s="19"/>
      <c r="AD22" s="9"/>
      <c r="AE22" s="7"/>
      <c r="AF22" s="6"/>
      <c r="AG22" s="6"/>
      <c r="AH22" s="6"/>
      <c r="AI22" s="6"/>
      <c r="AJ22" s="6"/>
      <c r="AK22" s="6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97"/>
      <c r="BY22" s="97"/>
      <c r="BZ22" s="97"/>
      <c r="CA22" s="97"/>
      <c r="CB22" s="97"/>
      <c r="CC22" s="97"/>
      <c r="CD22" s="97"/>
      <c r="CE22" s="97"/>
      <c r="CF22" s="97"/>
      <c r="CG22" s="97"/>
      <c r="CH22" s="97"/>
      <c r="CI22" s="97"/>
      <c r="CJ22" s="97"/>
      <c r="CK22" s="97"/>
      <c r="CL22" s="97"/>
      <c r="CM22" s="97"/>
      <c r="CN22" s="97"/>
      <c r="CO22" s="97"/>
      <c r="CP22" s="97"/>
      <c r="CQ22" s="97"/>
      <c r="CR22" s="97"/>
      <c r="CS22" s="97"/>
      <c r="CT22" s="97"/>
      <c r="CU22" s="97"/>
      <c r="CV22" s="97"/>
      <c r="CW22" s="97"/>
      <c r="CX22" s="97"/>
      <c r="CY22" s="97"/>
      <c r="CZ22" s="97"/>
      <c r="DA22" s="97"/>
      <c r="DB22" s="97"/>
      <c r="DC22" s="97"/>
      <c r="DD22" s="97"/>
      <c r="DE22" s="97"/>
      <c r="DF22" s="97"/>
      <c r="DG22" s="97"/>
      <c r="DH22" s="97"/>
      <c r="DI22" s="97"/>
      <c r="DJ22" s="97"/>
      <c r="DK22" s="97"/>
      <c r="DL22" s="97"/>
      <c r="DM22" s="97"/>
      <c r="DN22" s="97"/>
      <c r="DO22" s="97"/>
      <c r="DP22" s="97"/>
      <c r="DQ22" s="97"/>
      <c r="DR22" s="97"/>
      <c r="DS22" s="97"/>
      <c r="DT22" s="97"/>
      <c r="DU22" s="97"/>
      <c r="DV22" s="97"/>
      <c r="DW22" s="97"/>
    </row>
    <row r="23" spans="5:127" ht="9.9499999999999993" customHeight="1" x14ac:dyDescent="0.25">
      <c r="E23" s="40" t="s">
        <v>5</v>
      </c>
      <c r="F23" s="41"/>
      <c r="G23" s="41"/>
      <c r="H23" s="42"/>
      <c r="L23" s="6"/>
      <c r="M23" s="6"/>
      <c r="N23" s="6"/>
      <c r="O23" s="6"/>
      <c r="P23" s="7"/>
      <c r="Q23" s="7"/>
      <c r="R23" s="8"/>
      <c r="S23" s="9"/>
      <c r="T23" s="19"/>
      <c r="U23" s="19"/>
      <c r="V23" s="8"/>
      <c r="W23" s="9"/>
      <c r="X23" s="19"/>
      <c r="Y23" s="19"/>
      <c r="Z23" s="8"/>
      <c r="AA23" s="9"/>
      <c r="AB23" s="19"/>
      <c r="AC23" s="19"/>
      <c r="AD23" s="8"/>
      <c r="AE23" s="9"/>
      <c r="AF23" s="6"/>
      <c r="AG23" s="6"/>
      <c r="AH23" s="6"/>
      <c r="AI23" s="6"/>
      <c r="AJ23" s="6"/>
      <c r="AK23" s="6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97"/>
      <c r="BR23" s="97"/>
      <c r="BS23" s="97"/>
      <c r="BT23" s="97"/>
      <c r="BU23" s="97"/>
      <c r="BV23" s="97"/>
      <c r="BW23" s="97"/>
      <c r="BX23" s="97"/>
      <c r="BY23" s="97"/>
      <c r="BZ23" s="97"/>
      <c r="CA23" s="97"/>
      <c r="CB23" s="97"/>
      <c r="CC23" s="97"/>
      <c r="CD23" s="97"/>
      <c r="CE23" s="97"/>
      <c r="CF23" s="97"/>
      <c r="CG23" s="97"/>
      <c r="CH23" s="97"/>
      <c r="CI23" s="97"/>
      <c r="CJ23" s="97"/>
      <c r="CK23" s="97"/>
      <c r="CL23" s="97"/>
      <c r="CM23" s="97"/>
      <c r="CN23" s="97"/>
      <c r="CO23" s="97"/>
      <c r="CP23" s="97"/>
      <c r="CQ23" s="97"/>
      <c r="CR23" s="97"/>
      <c r="CS23" s="97"/>
      <c r="CT23" s="97"/>
      <c r="CU23" s="97"/>
      <c r="CV23" s="97"/>
      <c r="CW23" s="97"/>
      <c r="CX23" s="97"/>
      <c r="CY23" s="97"/>
      <c r="CZ23" s="97"/>
      <c r="DA23" s="97"/>
      <c r="DB23" s="97"/>
      <c r="DC23" s="97"/>
      <c r="DD23" s="97"/>
      <c r="DE23" s="97"/>
      <c r="DF23" s="97"/>
      <c r="DG23" s="97"/>
      <c r="DH23" s="97"/>
      <c r="DI23" s="97"/>
      <c r="DJ23" s="97"/>
      <c r="DK23" s="97"/>
      <c r="DL23" s="97"/>
      <c r="DM23" s="97"/>
      <c r="DN23" s="97"/>
      <c r="DO23" s="97"/>
      <c r="DP23" s="97"/>
      <c r="DQ23" s="97"/>
      <c r="DR23" s="97"/>
      <c r="DS23" s="97"/>
      <c r="DT23" s="97"/>
      <c r="DU23" s="97"/>
      <c r="DV23" s="97"/>
      <c r="DW23" s="97"/>
    </row>
    <row r="24" spans="5:127" ht="9.9499999999999993" customHeight="1" x14ac:dyDescent="0.25">
      <c r="E24" s="43"/>
      <c r="F24" s="44"/>
      <c r="G24" s="44"/>
      <c r="H24" s="45"/>
      <c r="I24" s="5"/>
      <c r="J24" s="5"/>
      <c r="K24" s="5"/>
      <c r="L24" s="7"/>
      <c r="M24" s="7"/>
      <c r="N24" s="7"/>
      <c r="O24" s="7"/>
      <c r="P24" s="7"/>
      <c r="Q24" s="8"/>
      <c r="R24" s="19" t="s">
        <v>0</v>
      </c>
      <c r="S24" s="19"/>
      <c r="T24" s="9"/>
      <c r="U24" s="8"/>
      <c r="V24" s="19"/>
      <c r="W24" s="19"/>
      <c r="X24" s="9"/>
      <c r="Y24" s="8"/>
      <c r="Z24" s="19"/>
      <c r="AA24" s="19"/>
      <c r="AB24" s="9"/>
      <c r="AC24" s="8"/>
      <c r="AD24" s="19"/>
      <c r="AE24" s="19"/>
      <c r="AF24" s="9"/>
      <c r="AG24" s="7"/>
      <c r="AH24" s="7"/>
      <c r="AI24" s="7"/>
      <c r="AJ24" s="7"/>
      <c r="AK24" s="7"/>
      <c r="AL24" s="5"/>
      <c r="AM24" s="5"/>
      <c r="AN24" s="5"/>
      <c r="BE24" s="97"/>
      <c r="BF24" s="97"/>
      <c r="BG24" s="97"/>
      <c r="BH24" s="97"/>
      <c r="BI24" s="97"/>
      <c r="BJ24" s="97"/>
      <c r="BK24" s="97"/>
      <c r="BL24" s="97"/>
      <c r="BM24" s="97"/>
      <c r="BN24" s="97"/>
      <c r="BO24" s="97"/>
      <c r="BP24" s="97"/>
      <c r="BQ24" s="97"/>
      <c r="BR24" s="97"/>
      <c r="BS24" s="97"/>
      <c r="BT24" s="97"/>
      <c r="BU24" s="97"/>
      <c r="BV24" s="97"/>
      <c r="BW24" s="97"/>
      <c r="BX24" s="97"/>
      <c r="BY24" s="97"/>
      <c r="BZ24" s="97"/>
      <c r="CA24" s="97"/>
      <c r="CB24" s="97"/>
      <c r="CC24" s="97"/>
      <c r="CD24" s="97"/>
      <c r="CE24" s="97"/>
      <c r="CF24" s="97"/>
      <c r="CG24" s="97"/>
      <c r="CH24" s="97"/>
      <c r="CI24" s="97"/>
      <c r="CJ24" s="97"/>
      <c r="CK24" s="97"/>
      <c r="CL24" s="97"/>
      <c r="CM24" s="97"/>
      <c r="CN24" s="97"/>
      <c r="CO24" s="97"/>
      <c r="CP24" s="97"/>
      <c r="CQ24" s="97"/>
      <c r="CR24" s="97"/>
      <c r="CS24" s="97"/>
      <c r="CT24" s="97"/>
      <c r="CU24" s="97"/>
      <c r="CV24" s="97"/>
      <c r="CW24" s="97"/>
      <c r="CX24" s="97"/>
      <c r="CY24" s="97"/>
      <c r="CZ24" s="97"/>
      <c r="DA24" s="97"/>
      <c r="DB24" s="97"/>
      <c r="DC24" s="97"/>
      <c r="DD24" s="97"/>
      <c r="DE24" s="97"/>
      <c r="DF24" s="97"/>
      <c r="DG24" s="97"/>
      <c r="DH24" s="97"/>
      <c r="DI24" s="97"/>
      <c r="DJ24" s="97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</row>
    <row r="25" spans="5:127" ht="9.9499999999999993" customHeight="1" x14ac:dyDescent="0.25">
      <c r="E25" s="46" t="s">
        <v>14</v>
      </c>
      <c r="F25" s="47"/>
      <c r="G25" s="47"/>
      <c r="H25" s="48" t="s">
        <v>9</v>
      </c>
      <c r="I25" s="5"/>
      <c r="J25" s="5"/>
      <c r="K25" s="5"/>
      <c r="L25" s="7"/>
      <c r="M25" s="7"/>
      <c r="N25" s="7"/>
      <c r="O25" s="7"/>
      <c r="P25" s="8"/>
      <c r="Q25" s="9"/>
      <c r="R25" s="19"/>
      <c r="S25" s="19"/>
      <c r="T25" s="8"/>
      <c r="U25" s="9"/>
      <c r="V25" s="19"/>
      <c r="W25" s="19"/>
      <c r="X25" s="8"/>
      <c r="Y25" s="9"/>
      <c r="Z25" s="19"/>
      <c r="AA25" s="19"/>
      <c r="AB25" s="8"/>
      <c r="AC25" s="9"/>
      <c r="AD25" s="19"/>
      <c r="AE25" s="19"/>
      <c r="AF25" s="8"/>
      <c r="AG25" s="9"/>
      <c r="AH25" s="7"/>
      <c r="AI25" s="7"/>
      <c r="AJ25" s="7"/>
      <c r="AK25" s="7"/>
      <c r="AL25" s="5"/>
      <c r="AM25" s="5"/>
      <c r="AN25" s="5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  <c r="CH25" s="97"/>
      <c r="CI25" s="97"/>
      <c r="CJ25" s="97"/>
      <c r="CK25" s="97"/>
      <c r="CL25" s="97"/>
      <c r="CM25" s="97"/>
      <c r="CN25" s="97"/>
      <c r="CO25" s="97"/>
      <c r="CP25" s="97"/>
      <c r="CQ25" s="97"/>
      <c r="CR25" s="97"/>
      <c r="CS25" s="97"/>
      <c r="CT25" s="97"/>
      <c r="CU25" s="97"/>
      <c r="CV25" s="97"/>
      <c r="CW25" s="97"/>
      <c r="CX25" s="97"/>
      <c r="CY25" s="97"/>
      <c r="CZ25" s="97"/>
      <c r="DA25" s="97"/>
      <c r="DB25" s="97"/>
      <c r="DC25" s="97"/>
      <c r="DD25" s="97"/>
      <c r="DE25" s="97"/>
      <c r="DF25" s="97"/>
      <c r="DG25" s="97"/>
      <c r="DH25" s="97"/>
      <c r="DI25" s="97"/>
      <c r="DJ25" s="97"/>
      <c r="DK25" s="97"/>
      <c r="DL25" s="97"/>
      <c r="DM25" s="97"/>
      <c r="DN25" s="97"/>
      <c r="DO25" s="97"/>
      <c r="DP25" s="97"/>
      <c r="DQ25" s="97"/>
      <c r="DR25" s="97"/>
      <c r="DS25" s="97"/>
      <c r="DT25" s="97"/>
      <c r="DU25" s="97"/>
      <c r="DV25" s="97"/>
      <c r="DW25" s="97"/>
    </row>
    <row r="26" spans="5:127" ht="9.9499999999999993" customHeight="1" x14ac:dyDescent="0.25">
      <c r="E26" s="46"/>
      <c r="F26" s="47"/>
      <c r="G26" s="47"/>
      <c r="H26" s="48"/>
      <c r="I26" s="5"/>
      <c r="J26" s="5"/>
      <c r="K26" s="5"/>
      <c r="L26" s="7"/>
      <c r="M26" s="7"/>
      <c r="N26" s="7"/>
      <c r="O26" s="8"/>
      <c r="P26" s="19" t="s">
        <v>0</v>
      </c>
      <c r="Q26" s="19"/>
      <c r="R26" s="9"/>
      <c r="S26" s="8"/>
      <c r="T26" s="19" t="s">
        <v>2</v>
      </c>
      <c r="U26" s="19"/>
      <c r="V26" s="9"/>
      <c r="W26" s="8"/>
      <c r="X26" s="19" t="s">
        <v>0</v>
      </c>
      <c r="Y26" s="19"/>
      <c r="Z26" s="9"/>
      <c r="AA26" s="8"/>
      <c r="AB26" s="19"/>
      <c r="AC26" s="19"/>
      <c r="AD26" s="9"/>
      <c r="AE26" s="8"/>
      <c r="AF26" s="19"/>
      <c r="AG26" s="19"/>
      <c r="AH26" s="9"/>
      <c r="AI26" s="7"/>
      <c r="AJ26" s="7"/>
      <c r="AK26" s="7"/>
      <c r="AL26" s="5"/>
      <c r="AM26" s="5"/>
      <c r="AN26" s="5"/>
      <c r="AP26" s="5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97"/>
      <c r="BT26" s="97"/>
      <c r="BU26" s="97"/>
      <c r="BV26" s="97"/>
      <c r="BW26" s="97"/>
      <c r="BX26" s="97"/>
      <c r="BY26" s="97"/>
      <c r="BZ26" s="97"/>
      <c r="CA26" s="97"/>
      <c r="CB26" s="97"/>
      <c r="CC26" s="97"/>
      <c r="CD26" s="97"/>
      <c r="CE26" s="97"/>
      <c r="CF26" s="97"/>
      <c r="CG26" s="97"/>
      <c r="CH26" s="97"/>
      <c r="CI26" s="97"/>
      <c r="CJ26" s="97"/>
      <c r="CK26" s="97"/>
      <c r="CL26" s="97"/>
      <c r="CM26" s="97"/>
      <c r="CN26" s="97"/>
      <c r="CO26" s="97"/>
      <c r="CP26" s="97"/>
      <c r="CQ26" s="97"/>
      <c r="CR26" s="97"/>
      <c r="CS26" s="97"/>
      <c r="CT26" s="97"/>
      <c r="CU26" s="97"/>
      <c r="CV26" s="97"/>
      <c r="CW26" s="97"/>
      <c r="CX26" s="97"/>
      <c r="CY26" s="97"/>
      <c r="CZ26" s="97"/>
      <c r="DA26" s="97"/>
      <c r="DB26" s="97"/>
      <c r="DC26" s="97"/>
      <c r="DD26" s="97"/>
      <c r="DE26" s="97"/>
      <c r="DF26" s="97"/>
      <c r="DG26" s="97"/>
      <c r="DH26" s="97"/>
      <c r="DI26" s="97"/>
      <c r="DJ26" s="97"/>
      <c r="DK26" s="97"/>
      <c r="DL26" s="97"/>
      <c r="DM26" s="97"/>
      <c r="DN26" s="97"/>
      <c r="DO26" s="97"/>
      <c r="DP26" s="97"/>
      <c r="DQ26" s="97"/>
      <c r="DR26" s="97"/>
      <c r="DS26" s="97"/>
      <c r="DT26" s="97"/>
      <c r="DU26" s="97"/>
      <c r="DV26" s="97"/>
      <c r="DW26" s="97"/>
    </row>
    <row r="27" spans="5:127" ht="9.9499999999999993" customHeight="1" x14ac:dyDescent="0.25">
      <c r="E27" s="46" t="s">
        <v>11</v>
      </c>
      <c r="F27" s="47"/>
      <c r="G27" s="47"/>
      <c r="H27" s="48" t="s">
        <v>10</v>
      </c>
      <c r="I27" s="5"/>
      <c r="J27" s="5"/>
      <c r="K27" s="5"/>
      <c r="L27" s="7"/>
      <c r="M27" s="7"/>
      <c r="N27" s="8"/>
      <c r="O27" s="9"/>
      <c r="P27" s="19"/>
      <c r="Q27" s="19"/>
      <c r="R27" s="8"/>
      <c r="S27" s="9"/>
      <c r="T27" s="19"/>
      <c r="U27" s="19"/>
      <c r="V27" s="8"/>
      <c r="W27" s="9"/>
      <c r="X27" s="19"/>
      <c r="Y27" s="19"/>
      <c r="Z27" s="8"/>
      <c r="AA27" s="9"/>
      <c r="AB27" s="19"/>
      <c r="AC27" s="19"/>
      <c r="AD27" s="8"/>
      <c r="AE27" s="9"/>
      <c r="AF27" s="19"/>
      <c r="AG27" s="19"/>
      <c r="AH27" s="8"/>
      <c r="AI27" s="9"/>
      <c r="AJ27" s="7"/>
      <c r="AK27" s="7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97"/>
      <c r="CF27" s="97"/>
      <c r="CG27" s="97"/>
      <c r="CH27" s="97"/>
      <c r="CI27" s="97"/>
      <c r="CJ27" s="97"/>
      <c r="CK27" s="97"/>
      <c r="CL27" s="97"/>
      <c r="CM27" s="97"/>
      <c r="CN27" s="97"/>
      <c r="CO27" s="97"/>
      <c r="CP27" s="97"/>
      <c r="CQ27" s="97"/>
      <c r="CR27" s="97"/>
      <c r="CS27" s="97"/>
      <c r="CT27" s="97"/>
      <c r="CU27" s="97"/>
      <c r="CV27" s="97"/>
      <c r="CW27" s="97"/>
      <c r="CX27" s="97"/>
      <c r="CY27" s="97"/>
      <c r="CZ27" s="97"/>
      <c r="DA27" s="97"/>
      <c r="DB27" s="97"/>
      <c r="DC27" s="97"/>
      <c r="DD27" s="97"/>
      <c r="DE27" s="97"/>
      <c r="DF27" s="97"/>
      <c r="DG27" s="97"/>
      <c r="DH27" s="97"/>
      <c r="DI27" s="97"/>
      <c r="DJ27" s="97"/>
      <c r="DK27" s="97"/>
      <c r="DL27" s="97"/>
      <c r="DM27" s="97"/>
      <c r="DN27" s="97"/>
      <c r="DO27" s="97"/>
      <c r="DP27" s="97"/>
      <c r="DQ27" s="97"/>
      <c r="DR27" s="97"/>
      <c r="DS27" s="97"/>
      <c r="DT27" s="97"/>
      <c r="DU27" s="97"/>
      <c r="DV27" s="97"/>
      <c r="DW27" s="97"/>
    </row>
    <row r="28" spans="5:127" ht="9.9499999999999993" customHeight="1" x14ac:dyDescent="0.25">
      <c r="E28" s="46"/>
      <c r="F28" s="47"/>
      <c r="G28" s="47"/>
      <c r="H28" s="48"/>
      <c r="I28" s="5"/>
      <c r="J28" s="5"/>
      <c r="K28" s="5"/>
      <c r="L28" s="7"/>
      <c r="M28" s="8"/>
      <c r="N28" s="19" t="s">
        <v>0</v>
      </c>
      <c r="O28" s="19"/>
      <c r="P28" s="9"/>
      <c r="Q28" s="8"/>
      <c r="R28" s="19" t="s">
        <v>0</v>
      </c>
      <c r="S28" s="19"/>
      <c r="T28" s="9"/>
      <c r="U28" s="8"/>
      <c r="V28" s="19" t="s">
        <v>0</v>
      </c>
      <c r="W28" s="19"/>
      <c r="X28" s="9"/>
      <c r="Y28" s="8"/>
      <c r="Z28" s="19"/>
      <c r="AA28" s="19"/>
      <c r="AB28" s="9"/>
      <c r="AC28" s="8"/>
      <c r="AD28" s="19"/>
      <c r="AE28" s="19"/>
      <c r="AF28" s="9"/>
      <c r="AG28" s="8"/>
      <c r="AH28" s="19"/>
      <c r="AI28" s="19"/>
      <c r="AJ28" s="9"/>
      <c r="AK28" s="7"/>
      <c r="AL28" s="10"/>
      <c r="AM28" s="10"/>
      <c r="AN28" s="5"/>
      <c r="AO28" s="7"/>
      <c r="AP28" s="5"/>
      <c r="AQ28" s="5"/>
      <c r="AR28" s="7"/>
      <c r="AS28" s="7"/>
      <c r="AT28" s="5"/>
      <c r="AU28" s="5"/>
      <c r="AV28" s="5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  <c r="CH28" s="97"/>
      <c r="CI28" s="97"/>
      <c r="CJ28" s="97"/>
      <c r="CK28" s="97"/>
      <c r="CL28" s="97"/>
      <c r="CM28" s="97"/>
      <c r="CN28" s="97"/>
      <c r="CO28" s="97"/>
      <c r="CP28" s="97"/>
      <c r="CQ28" s="97"/>
      <c r="CR28" s="97"/>
      <c r="CS28" s="97"/>
      <c r="CT28" s="97"/>
      <c r="CU28" s="97"/>
      <c r="CV28" s="97"/>
      <c r="CW28" s="97"/>
      <c r="CX28" s="97"/>
      <c r="CY28" s="97"/>
      <c r="CZ28" s="97"/>
      <c r="DA28" s="97"/>
      <c r="DB28" s="97"/>
      <c r="DC28" s="97"/>
      <c r="DD28" s="97"/>
      <c r="DE28" s="97"/>
      <c r="DF28" s="97"/>
      <c r="DG28" s="97"/>
      <c r="DH28" s="97"/>
      <c r="DI28" s="97"/>
      <c r="DJ28" s="97"/>
      <c r="DK28" s="97"/>
      <c r="DL28" s="97"/>
      <c r="DM28" s="97"/>
      <c r="DN28" s="97"/>
      <c r="DO28" s="97"/>
      <c r="DP28" s="97"/>
      <c r="DQ28" s="97"/>
      <c r="DR28" s="97"/>
      <c r="DS28" s="97"/>
      <c r="DT28" s="97"/>
      <c r="DU28" s="97"/>
      <c r="DV28" s="97"/>
      <c r="DW28" s="97"/>
    </row>
    <row r="29" spans="5:127" ht="9.9499999999999993" customHeight="1" x14ac:dyDescent="0.25">
      <c r="E29" s="46" t="s">
        <v>15</v>
      </c>
      <c r="F29" s="47"/>
      <c r="G29" s="47"/>
      <c r="H29" s="48" t="s">
        <v>8</v>
      </c>
      <c r="I29" s="5"/>
      <c r="J29" s="5"/>
      <c r="K29" s="5"/>
      <c r="L29" s="8"/>
      <c r="M29" s="9"/>
      <c r="N29" s="19"/>
      <c r="O29" s="19"/>
      <c r="P29" s="8"/>
      <c r="Q29" s="9"/>
      <c r="R29" s="19"/>
      <c r="S29" s="19"/>
      <c r="T29" s="8"/>
      <c r="U29" s="9"/>
      <c r="V29" s="19"/>
      <c r="W29" s="19"/>
      <c r="X29" s="8"/>
      <c r="Y29" s="9"/>
      <c r="Z29" s="19"/>
      <c r="AA29" s="19"/>
      <c r="AB29" s="8"/>
      <c r="AC29" s="9"/>
      <c r="AD29" s="19"/>
      <c r="AE29" s="19"/>
      <c r="AF29" s="8"/>
      <c r="AG29" s="9"/>
      <c r="AH29" s="19"/>
      <c r="AI29" s="19"/>
      <c r="AJ29" s="8"/>
      <c r="AK29" s="9"/>
      <c r="AL29" s="10"/>
      <c r="AM29" s="10"/>
      <c r="AN29" s="5"/>
      <c r="AO29" s="7"/>
      <c r="AP29" s="5"/>
      <c r="AQ29" s="5"/>
      <c r="AR29" s="7"/>
      <c r="AS29" s="7"/>
      <c r="AT29" s="5"/>
      <c r="AU29" s="5"/>
      <c r="AV29" s="5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7"/>
      <c r="CN29" s="97"/>
      <c r="CO29" s="97"/>
      <c r="CP29" s="97"/>
      <c r="CQ29" s="97"/>
      <c r="CR29" s="97"/>
      <c r="CS29" s="97"/>
      <c r="CT29" s="97"/>
      <c r="CU29" s="97"/>
      <c r="CV29" s="97"/>
      <c r="CW29" s="97"/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  <c r="DL29" s="97"/>
      <c r="DM29" s="97"/>
      <c r="DN29" s="97"/>
      <c r="DO29" s="97"/>
      <c r="DP29" s="97"/>
      <c r="DQ29" s="97"/>
      <c r="DR29" s="97"/>
      <c r="DS29" s="97"/>
      <c r="DT29" s="97"/>
      <c r="DU29" s="97"/>
      <c r="DV29" s="97"/>
      <c r="DW29" s="97"/>
    </row>
    <row r="30" spans="5:127" ht="9.9499999999999993" customHeight="1" x14ac:dyDescent="0.25">
      <c r="E30" s="49"/>
      <c r="F30" s="50"/>
      <c r="G30" s="50"/>
      <c r="H30" s="51"/>
      <c r="I30" s="5"/>
      <c r="J30" s="5"/>
      <c r="K30" s="3"/>
      <c r="L30" s="19"/>
      <c r="M30" s="19"/>
      <c r="N30" s="9"/>
      <c r="O30" s="8"/>
      <c r="P30" s="19"/>
      <c r="Q30" s="19"/>
      <c r="R30" s="9"/>
      <c r="S30" s="8"/>
      <c r="T30" s="19" t="s">
        <v>0</v>
      </c>
      <c r="U30" s="19"/>
      <c r="V30" s="9"/>
      <c r="W30" s="8"/>
      <c r="X30" s="19"/>
      <c r="Y30" s="19"/>
      <c r="Z30" s="9"/>
      <c r="AA30" s="8"/>
      <c r="AB30" s="19"/>
      <c r="AC30" s="19"/>
      <c r="AD30" s="9"/>
      <c r="AE30" s="8"/>
      <c r="AF30" s="19"/>
      <c r="AG30" s="19"/>
      <c r="AH30" s="9"/>
      <c r="AI30" s="8"/>
      <c r="AJ30" s="19"/>
      <c r="AK30" s="19"/>
      <c r="AL30" s="4"/>
      <c r="AM30" s="5"/>
      <c r="AN30" s="7"/>
      <c r="AO30" s="5"/>
      <c r="AP30" s="7"/>
      <c r="AQ30" s="7"/>
      <c r="AR30" s="5"/>
      <c r="AS30" s="5"/>
      <c r="AT30" s="7"/>
      <c r="AU30" s="7"/>
      <c r="AV30" s="5"/>
      <c r="BA30" s="93"/>
      <c r="BB30" s="93"/>
      <c r="BC30" s="93"/>
      <c r="BD30" s="93"/>
      <c r="BE30" s="93"/>
      <c r="BF30" s="93"/>
      <c r="BG30" s="93"/>
      <c r="BH30" s="93"/>
      <c r="BI30" s="93"/>
      <c r="BJ30" s="93"/>
      <c r="BK30" s="93"/>
      <c r="BL30" s="93"/>
      <c r="BM30" s="93"/>
      <c r="BN30" s="93"/>
      <c r="BO30" s="93"/>
      <c r="BP30" s="93"/>
      <c r="BQ30" s="93"/>
      <c r="BR30" s="93"/>
      <c r="BS30" s="93"/>
      <c r="BT30" s="93"/>
      <c r="BU30" s="93"/>
      <c r="BV30" s="93"/>
      <c r="BW30" s="93"/>
      <c r="BX30" s="93"/>
      <c r="BY30" s="93"/>
      <c r="BZ30" s="93"/>
      <c r="CA30" s="93"/>
      <c r="CB30" s="93"/>
      <c r="CC30" s="93"/>
      <c r="CD30" s="93"/>
      <c r="CE30" s="93"/>
      <c r="CF30" s="93"/>
      <c r="CG30" s="93"/>
      <c r="CH30" s="93"/>
      <c r="CI30" s="93"/>
      <c r="CJ30" s="93"/>
      <c r="CK30" s="93"/>
      <c r="CL30" s="93"/>
      <c r="CM30" s="93"/>
      <c r="CN30" s="93"/>
      <c r="CO30" s="93"/>
      <c r="CP30" s="93"/>
      <c r="CQ30" s="93"/>
      <c r="CR30" s="93"/>
      <c r="CS30" s="93"/>
      <c r="CT30" s="93"/>
      <c r="CU30" s="93"/>
      <c r="CV30" s="93"/>
      <c r="CW30" s="93"/>
      <c r="CX30" s="93"/>
      <c r="CY30" s="93"/>
      <c r="CZ30" s="93"/>
      <c r="DA30" s="93"/>
      <c r="DB30" s="93"/>
      <c r="DC30" s="93"/>
      <c r="DD30" s="93"/>
      <c r="DE30" s="93"/>
      <c r="DF30" s="93"/>
      <c r="DG30" s="93"/>
      <c r="DH30" s="93"/>
      <c r="DI30" s="93"/>
      <c r="DJ30" s="93"/>
      <c r="DK30" s="93"/>
      <c r="DL30" s="93"/>
      <c r="DM30" s="93"/>
      <c r="DN30" s="93"/>
      <c r="DO30" s="93"/>
      <c r="DP30" s="97"/>
      <c r="DQ30" s="97"/>
      <c r="DR30" s="97"/>
      <c r="DS30" s="97"/>
      <c r="DT30" s="97"/>
      <c r="DU30" s="97"/>
      <c r="DV30" s="97"/>
      <c r="DW30" s="97"/>
    </row>
    <row r="31" spans="5:127" ht="9.9499999999999993" customHeight="1" x14ac:dyDescent="0.25">
      <c r="I31" s="5"/>
      <c r="J31" s="3"/>
      <c r="K31" s="4"/>
      <c r="L31" s="19"/>
      <c r="M31" s="19"/>
      <c r="N31" s="8"/>
      <c r="O31" s="9"/>
      <c r="P31" s="19"/>
      <c r="Q31" s="19"/>
      <c r="R31" s="8"/>
      <c r="S31" s="9"/>
      <c r="T31" s="19"/>
      <c r="U31" s="19"/>
      <c r="V31" s="8"/>
      <c r="W31" s="9"/>
      <c r="X31" s="19"/>
      <c r="Y31" s="19"/>
      <c r="Z31" s="8"/>
      <c r="AA31" s="9"/>
      <c r="AB31" s="19"/>
      <c r="AC31" s="19"/>
      <c r="AD31" s="8"/>
      <c r="AE31" s="9"/>
      <c r="AF31" s="19"/>
      <c r="AG31" s="19"/>
      <c r="AH31" s="8"/>
      <c r="AI31" s="9"/>
      <c r="AJ31" s="19"/>
      <c r="AK31" s="19"/>
      <c r="AL31" s="3"/>
      <c r="AM31" s="4"/>
      <c r="AN31" s="7"/>
      <c r="AO31" s="5"/>
      <c r="AP31" s="7"/>
      <c r="AQ31" s="7"/>
      <c r="AR31" s="5"/>
      <c r="AS31" s="5"/>
      <c r="AT31" s="7"/>
      <c r="AU31" s="7"/>
      <c r="AV31" s="5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3"/>
      <c r="BQ31" s="93"/>
      <c r="BR31" s="93"/>
      <c r="BS31" s="93"/>
      <c r="BT31" s="93"/>
      <c r="BU31" s="93"/>
      <c r="BV31" s="93"/>
      <c r="BW31" s="93"/>
      <c r="BX31" s="93"/>
      <c r="BY31" s="93"/>
      <c r="BZ31" s="93"/>
      <c r="CA31" s="93"/>
      <c r="CB31" s="93"/>
      <c r="CC31" s="93"/>
      <c r="CD31" s="93"/>
      <c r="CE31" s="93"/>
      <c r="CF31" s="93"/>
      <c r="CG31" s="93"/>
      <c r="CH31" s="93"/>
      <c r="CI31" s="93"/>
      <c r="CJ31" s="93"/>
      <c r="CK31" s="93"/>
      <c r="CL31" s="93"/>
      <c r="CM31" s="93"/>
      <c r="CN31" s="93"/>
      <c r="CO31" s="93"/>
      <c r="CP31" s="93"/>
      <c r="CQ31" s="93"/>
      <c r="CR31" s="93"/>
      <c r="CS31" s="93"/>
      <c r="CT31" s="93"/>
      <c r="CU31" s="93"/>
      <c r="CV31" s="93"/>
      <c r="CW31" s="93"/>
      <c r="CX31" s="93"/>
      <c r="CY31" s="93"/>
      <c r="CZ31" s="93"/>
      <c r="DA31" s="93"/>
      <c r="DB31" s="93"/>
      <c r="DC31" s="93"/>
      <c r="DD31" s="93"/>
      <c r="DE31" s="93"/>
      <c r="DF31" s="93"/>
      <c r="DG31" s="93"/>
      <c r="DH31" s="93"/>
      <c r="DI31" s="93"/>
      <c r="DJ31" s="93"/>
      <c r="DK31" s="93"/>
      <c r="DL31" s="93"/>
      <c r="DM31" s="93"/>
      <c r="DN31" s="93"/>
      <c r="DO31" s="93"/>
      <c r="DP31" s="97"/>
      <c r="DQ31" s="97"/>
      <c r="DR31" s="97"/>
      <c r="DS31" s="97"/>
      <c r="DT31" s="97"/>
      <c r="DU31" s="97"/>
      <c r="DV31" s="97"/>
      <c r="DW31" s="97"/>
    </row>
    <row r="32" spans="5:127" ht="9.9499999999999993" customHeight="1" x14ac:dyDescent="0.25">
      <c r="I32" s="3"/>
      <c r="J32" s="5"/>
      <c r="K32" s="5"/>
      <c r="L32" s="4"/>
      <c r="M32" s="3"/>
      <c r="N32" s="5"/>
      <c r="O32" s="5"/>
      <c r="P32" s="4"/>
      <c r="Q32" s="3"/>
      <c r="R32" s="5"/>
      <c r="S32" s="5"/>
      <c r="T32" s="4"/>
      <c r="U32" s="3"/>
      <c r="V32" s="5"/>
      <c r="W32" s="5"/>
      <c r="X32" s="4"/>
      <c r="Y32" s="3"/>
      <c r="Z32" s="5"/>
      <c r="AA32" s="5"/>
      <c r="AB32" s="4"/>
      <c r="AC32" s="3"/>
      <c r="AD32" s="5"/>
      <c r="AE32" s="5"/>
      <c r="AF32" s="4"/>
      <c r="AG32" s="3"/>
      <c r="AH32" s="5"/>
      <c r="AI32" s="5"/>
      <c r="AJ32" s="4"/>
      <c r="AK32" s="3"/>
      <c r="AL32" s="5"/>
      <c r="AM32" s="5"/>
      <c r="AN32" s="4"/>
      <c r="AO32" s="5"/>
      <c r="AP32" s="5"/>
      <c r="AQ32" s="5"/>
      <c r="AR32" s="5"/>
      <c r="AS32" s="5"/>
      <c r="AT32" s="5"/>
      <c r="AU32" s="5"/>
      <c r="AV32" s="5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  <c r="CI32" s="93"/>
      <c r="CJ32" s="93"/>
      <c r="CK32" s="93"/>
      <c r="CL32" s="93"/>
      <c r="CM32" s="93"/>
      <c r="CN32" s="93"/>
      <c r="CO32" s="93"/>
      <c r="CP32" s="93"/>
      <c r="CQ32" s="93"/>
      <c r="CR32" s="93"/>
      <c r="CS32" s="93"/>
      <c r="CT32" s="93"/>
      <c r="CU32" s="93"/>
      <c r="CV32" s="93"/>
      <c r="CW32" s="93"/>
      <c r="CX32" s="93"/>
      <c r="CY32" s="93"/>
      <c r="CZ32" s="93"/>
      <c r="DA32" s="93"/>
      <c r="DB32" s="93"/>
      <c r="DC32" s="93"/>
      <c r="DD32" s="93"/>
      <c r="DE32" s="93"/>
      <c r="DF32" s="93"/>
      <c r="DG32" s="93"/>
      <c r="DH32" s="93"/>
      <c r="DI32" s="93"/>
      <c r="DJ32" s="93"/>
      <c r="DK32" s="93"/>
      <c r="DL32" s="93"/>
      <c r="DM32" s="93"/>
      <c r="DN32" s="93"/>
      <c r="DO32" s="93"/>
      <c r="DP32" s="97"/>
      <c r="DQ32" s="97"/>
      <c r="DR32" s="97"/>
      <c r="DS32" s="97"/>
      <c r="DT32" s="97"/>
      <c r="DU32" s="97"/>
      <c r="DV32" s="97"/>
      <c r="DW32" s="97"/>
    </row>
    <row r="33" spans="2:127" ht="19.5" customHeight="1" x14ac:dyDescent="0.25">
      <c r="C33" s="47"/>
      <c r="D33" s="59"/>
      <c r="E33" s="72" t="s">
        <v>40</v>
      </c>
      <c r="F33" s="72"/>
      <c r="G33" s="72"/>
      <c r="H33" s="73"/>
      <c r="I33" s="23">
        <v>1</v>
      </c>
      <c r="J33" s="24"/>
      <c r="K33" s="24"/>
      <c r="L33" s="25"/>
      <c r="M33" s="23">
        <v>2</v>
      </c>
      <c r="N33" s="24"/>
      <c r="O33" s="24"/>
      <c r="P33" s="25"/>
      <c r="Q33" s="23">
        <v>3</v>
      </c>
      <c r="R33" s="24"/>
      <c r="S33" s="24"/>
      <c r="T33" s="25"/>
      <c r="U33" s="23">
        <v>4</v>
      </c>
      <c r="V33" s="24"/>
      <c r="W33" s="24"/>
      <c r="X33" s="25"/>
      <c r="Y33" s="23">
        <v>5</v>
      </c>
      <c r="Z33" s="24"/>
      <c r="AA33" s="24"/>
      <c r="AB33" s="25"/>
      <c r="AC33" s="23">
        <v>6</v>
      </c>
      <c r="AD33" s="24"/>
      <c r="AE33" s="24"/>
      <c r="AF33" s="25"/>
      <c r="AG33" s="23">
        <v>7</v>
      </c>
      <c r="AH33" s="24"/>
      <c r="AI33" s="24"/>
      <c r="AJ33" s="25"/>
      <c r="AK33" s="23">
        <v>8</v>
      </c>
      <c r="AL33" s="24"/>
      <c r="AM33" s="24"/>
      <c r="AN33" s="25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93"/>
      <c r="BY33" s="93"/>
      <c r="BZ33" s="93"/>
      <c r="CA33" s="93"/>
      <c r="CB33" s="93"/>
      <c r="CC33" s="93"/>
      <c r="CD33" s="93"/>
      <c r="CE33" s="93"/>
      <c r="CF33" s="93"/>
      <c r="CG33" s="93"/>
      <c r="CH33" s="93"/>
      <c r="CI33" s="93"/>
      <c r="CJ33" s="93"/>
      <c r="CK33" s="93"/>
      <c r="CL33" s="93"/>
      <c r="CM33" s="93"/>
      <c r="CN33" s="93"/>
      <c r="CO33" s="93"/>
      <c r="CP33" s="93"/>
      <c r="CQ33" s="93"/>
      <c r="CR33" s="93"/>
      <c r="CS33" s="93"/>
      <c r="CT33" s="93"/>
      <c r="CU33" s="93"/>
      <c r="CV33" s="93"/>
      <c r="CW33" s="93"/>
      <c r="CX33" s="93"/>
      <c r="CY33" s="93"/>
      <c r="CZ33" s="93"/>
      <c r="DA33" s="93"/>
      <c r="DB33" s="93"/>
      <c r="DC33" s="93"/>
      <c r="DD33" s="93"/>
      <c r="DE33" s="93"/>
      <c r="DF33" s="93"/>
      <c r="DG33" s="93"/>
      <c r="DH33" s="93"/>
      <c r="DI33" s="93"/>
      <c r="DJ33" s="93"/>
      <c r="DK33" s="93"/>
      <c r="DL33" s="93"/>
      <c r="DM33" s="93"/>
      <c r="DN33" s="93"/>
      <c r="DO33" s="93"/>
      <c r="DP33" s="97"/>
      <c r="DQ33" s="97"/>
      <c r="DR33" s="97"/>
      <c r="DS33" s="97"/>
      <c r="DT33" s="97"/>
      <c r="DU33" s="97"/>
      <c r="DV33" s="97"/>
      <c r="DW33" s="97"/>
    </row>
    <row r="34" spans="2:127" ht="19.5" customHeight="1" x14ac:dyDescent="0.25">
      <c r="C34" s="50"/>
      <c r="D34" s="58"/>
      <c r="E34" s="72" t="s">
        <v>5</v>
      </c>
      <c r="F34" s="72"/>
      <c r="G34" s="72"/>
      <c r="H34" s="73"/>
      <c r="I34" s="52" t="s">
        <v>8</v>
      </c>
      <c r="J34" s="53"/>
      <c r="K34" s="53"/>
      <c r="L34" s="54"/>
      <c r="M34" s="52" t="s">
        <v>9</v>
      </c>
      <c r="N34" s="53"/>
      <c r="O34" s="53"/>
      <c r="P34" s="54"/>
      <c r="Q34" s="52" t="s">
        <v>8</v>
      </c>
      <c r="R34" s="53"/>
      <c r="S34" s="53"/>
      <c r="T34" s="54"/>
      <c r="U34" s="52" t="s">
        <v>8</v>
      </c>
      <c r="V34" s="53"/>
      <c r="W34" s="53"/>
      <c r="X34" s="54"/>
      <c r="Y34" s="60" t="s">
        <v>9</v>
      </c>
      <c r="Z34" s="61"/>
      <c r="AA34" s="61"/>
      <c r="AB34" s="62"/>
      <c r="AC34" s="60" t="s">
        <v>9</v>
      </c>
      <c r="AD34" s="61"/>
      <c r="AE34" s="61"/>
      <c r="AF34" s="62"/>
      <c r="AG34" s="60" t="s">
        <v>8</v>
      </c>
      <c r="AH34" s="61"/>
      <c r="AI34" s="61"/>
      <c r="AJ34" s="62"/>
      <c r="AK34" s="60" t="s">
        <v>8</v>
      </c>
      <c r="AL34" s="61"/>
      <c r="AM34" s="61"/>
      <c r="AN34" s="62"/>
      <c r="AO34" s="27"/>
      <c r="AP34" s="27"/>
      <c r="AQ34" s="27"/>
      <c r="AR34" s="27"/>
      <c r="AS34" s="27"/>
      <c r="AT34" s="27"/>
      <c r="AU34" s="27"/>
      <c r="AV34" s="27"/>
      <c r="AW34" s="28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  <c r="BY34" s="93"/>
      <c r="BZ34" s="93"/>
      <c r="CA34" s="93"/>
      <c r="CB34" s="93"/>
      <c r="CC34" s="93"/>
      <c r="CD34" s="93"/>
      <c r="CE34" s="93"/>
      <c r="CF34" s="93"/>
      <c r="CG34" s="93"/>
      <c r="CH34" s="93"/>
      <c r="CI34" s="93"/>
      <c r="CJ34" s="93"/>
      <c r="CK34" s="93"/>
      <c r="CL34" s="93"/>
      <c r="CM34" s="93"/>
      <c r="CN34" s="93"/>
      <c r="CO34" s="93"/>
      <c r="CP34" s="93"/>
      <c r="CQ34" s="93"/>
      <c r="CR34" s="93"/>
      <c r="CS34" s="93"/>
      <c r="CT34" s="93"/>
      <c r="CU34" s="93"/>
      <c r="CV34" s="93"/>
      <c r="CW34" s="93"/>
      <c r="CX34" s="93"/>
      <c r="CY34" s="93"/>
      <c r="CZ34" s="93"/>
      <c r="DA34" s="93"/>
      <c r="DB34" s="93"/>
      <c r="DC34" s="93"/>
      <c r="DD34" s="93"/>
      <c r="DE34" s="93"/>
      <c r="DF34" s="93"/>
      <c r="DG34" s="93"/>
      <c r="DH34" s="93"/>
      <c r="DI34" s="93"/>
      <c r="DJ34" s="93"/>
      <c r="DK34" s="93"/>
      <c r="DL34" s="93"/>
      <c r="DM34" s="93"/>
      <c r="DN34" s="93"/>
      <c r="DO34" s="93"/>
      <c r="DP34" s="97"/>
      <c r="DQ34" s="97"/>
      <c r="DR34" s="97"/>
      <c r="DS34" s="97"/>
      <c r="DT34" s="97"/>
      <c r="DU34" s="97"/>
      <c r="DV34" s="97"/>
      <c r="DW34" s="97"/>
    </row>
    <row r="35" spans="2:127" ht="90" customHeight="1" x14ac:dyDescent="0.25">
      <c r="B35" s="31" t="s">
        <v>13</v>
      </c>
      <c r="C35" s="13"/>
      <c r="D35" s="14" t="s">
        <v>1</v>
      </c>
      <c r="E35" s="31" t="s">
        <v>38</v>
      </c>
      <c r="F35" s="31" t="s">
        <v>42</v>
      </c>
      <c r="G35" s="31" t="s">
        <v>41</v>
      </c>
      <c r="H35" s="74" t="s">
        <v>39</v>
      </c>
      <c r="I35" s="66" t="s">
        <v>44</v>
      </c>
      <c r="J35" s="67"/>
      <c r="K35" s="67"/>
      <c r="L35" s="68"/>
      <c r="M35" s="66" t="s">
        <v>45</v>
      </c>
      <c r="N35" s="67"/>
      <c r="O35" s="67"/>
      <c r="P35" s="68"/>
      <c r="Q35" s="66" t="s">
        <v>54</v>
      </c>
      <c r="R35" s="67"/>
      <c r="S35" s="67"/>
      <c r="T35" s="68"/>
      <c r="U35" s="66" t="s">
        <v>52</v>
      </c>
      <c r="V35" s="67"/>
      <c r="W35" s="67"/>
      <c r="X35" s="68"/>
      <c r="Y35" s="66" t="s">
        <v>49</v>
      </c>
      <c r="Z35" s="67"/>
      <c r="AA35" s="67"/>
      <c r="AB35" s="68"/>
      <c r="AC35" s="66" t="s">
        <v>50</v>
      </c>
      <c r="AD35" s="67"/>
      <c r="AE35" s="67"/>
      <c r="AF35" s="68"/>
      <c r="AG35" s="66" t="s">
        <v>51</v>
      </c>
      <c r="AH35" s="67"/>
      <c r="AI35" s="67"/>
      <c r="AJ35" s="68"/>
      <c r="AK35" s="66" t="s">
        <v>53</v>
      </c>
      <c r="AL35" s="67"/>
      <c r="AM35" s="67"/>
      <c r="AN35" s="68"/>
      <c r="AO35" s="35" t="s">
        <v>46</v>
      </c>
      <c r="AP35" s="35" t="s">
        <v>47</v>
      </c>
      <c r="AQ35" s="37" t="s">
        <v>48</v>
      </c>
      <c r="AR35" s="38" t="s">
        <v>24</v>
      </c>
      <c r="AS35" s="33" t="s">
        <v>25</v>
      </c>
      <c r="AT35" s="33" t="s">
        <v>26</v>
      </c>
      <c r="AU35" s="33" t="s">
        <v>27</v>
      </c>
      <c r="AV35" s="33" t="s">
        <v>28</v>
      </c>
      <c r="AW35" s="29" t="s">
        <v>29</v>
      </c>
      <c r="AX35" s="31" t="s">
        <v>13</v>
      </c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93" t="s">
        <v>56</v>
      </c>
      <c r="BQ35" s="93">
        <f>1/SUM(BQ47,CD47,CP47,DC47)</f>
        <v>9.0090090090090091E-4</v>
      </c>
      <c r="BR35" s="93">
        <f t="shared" ref="BR35:BX35" si="0">1/SUM(BR47,CE47,CQ47,DD47)</f>
        <v>5.263157894736842E-4</v>
      </c>
      <c r="BS35" s="93">
        <f t="shared" si="0"/>
        <v>4.5662100456621003E-4</v>
      </c>
      <c r="BT35" s="93">
        <f t="shared" si="0"/>
        <v>9.4339622641509435E-4</v>
      </c>
      <c r="BU35" s="93">
        <f t="shared" si="0"/>
        <v>8.0000000000000004E-4</v>
      </c>
      <c r="BV35" s="93">
        <f t="shared" si="0"/>
        <v>9.6153846153846159E-4</v>
      </c>
      <c r="BW35" s="93">
        <f t="shared" si="0"/>
        <v>8.9285714285714283E-4</v>
      </c>
      <c r="BX35" s="93">
        <f t="shared" si="0"/>
        <v>6.5789473684210525E-4</v>
      </c>
      <c r="BY35" s="93"/>
      <c r="BZ35" s="93"/>
      <c r="CA35" s="93"/>
      <c r="CB35" s="93"/>
      <c r="CC35" s="93">
        <f>CP47*BQ35</f>
        <v>0.22522522522522523</v>
      </c>
      <c r="CD35" s="93"/>
      <c r="CE35" s="93"/>
      <c r="CF35" s="93"/>
      <c r="CG35" s="93"/>
      <c r="CH35" s="93"/>
      <c r="CI35" s="93"/>
      <c r="CJ35" s="93"/>
      <c r="CK35" s="93"/>
      <c r="CL35" s="93"/>
      <c r="CM35" s="93"/>
      <c r="CN35" s="93"/>
      <c r="CO35" s="93"/>
      <c r="CP35" s="93"/>
      <c r="CQ35" s="93"/>
      <c r="CR35" s="93"/>
      <c r="CS35" s="93"/>
      <c r="CT35" s="93"/>
      <c r="CU35" s="93"/>
      <c r="CV35" s="93"/>
      <c r="CW35" s="93"/>
      <c r="CX35" s="93"/>
      <c r="CY35" s="93"/>
      <c r="CZ35" s="93"/>
      <c r="DA35" s="93"/>
      <c r="DB35" s="93"/>
      <c r="DC35" s="93"/>
      <c r="DD35" s="93"/>
      <c r="DE35" s="93"/>
      <c r="DF35" s="93"/>
      <c r="DG35" s="93"/>
      <c r="DH35" s="93"/>
      <c r="DI35" s="93"/>
      <c r="DJ35" s="93"/>
      <c r="DK35" s="93"/>
      <c r="DL35" s="93"/>
      <c r="DM35" s="93"/>
      <c r="DN35" s="93"/>
      <c r="DO35" s="93"/>
      <c r="DP35" s="97"/>
      <c r="DQ35" s="97"/>
      <c r="DR35" s="97"/>
      <c r="DS35" s="97"/>
      <c r="DT35" s="97"/>
      <c r="DU35" s="97"/>
      <c r="DV35" s="97"/>
      <c r="DW35" s="97"/>
    </row>
    <row r="36" spans="2:127" ht="90" customHeight="1" x14ac:dyDescent="0.25">
      <c r="B36" s="32"/>
      <c r="C36" s="15" t="s">
        <v>4</v>
      </c>
      <c r="D36" s="16"/>
      <c r="E36" s="32"/>
      <c r="F36" s="32"/>
      <c r="G36" s="32"/>
      <c r="H36" s="75"/>
      <c r="I36" s="69"/>
      <c r="J36" s="70"/>
      <c r="K36" s="70"/>
      <c r="L36" s="71"/>
      <c r="M36" s="69"/>
      <c r="N36" s="70"/>
      <c r="O36" s="70"/>
      <c r="P36" s="71"/>
      <c r="Q36" s="69"/>
      <c r="R36" s="70"/>
      <c r="S36" s="70"/>
      <c r="T36" s="71"/>
      <c r="U36" s="69"/>
      <c r="V36" s="70"/>
      <c r="W36" s="70"/>
      <c r="X36" s="71"/>
      <c r="Y36" s="69"/>
      <c r="Z36" s="70"/>
      <c r="AA36" s="70"/>
      <c r="AB36" s="71"/>
      <c r="AC36" s="69"/>
      <c r="AD36" s="70"/>
      <c r="AE36" s="70"/>
      <c r="AF36" s="71"/>
      <c r="AG36" s="69"/>
      <c r="AH36" s="70"/>
      <c r="AI36" s="70"/>
      <c r="AJ36" s="71"/>
      <c r="AK36" s="69"/>
      <c r="AL36" s="70"/>
      <c r="AM36" s="70"/>
      <c r="AN36" s="71"/>
      <c r="AO36" s="36"/>
      <c r="AP36" s="36"/>
      <c r="AQ36" s="37"/>
      <c r="AR36" s="39"/>
      <c r="AS36" s="34"/>
      <c r="AT36" s="34"/>
      <c r="AU36" s="34"/>
      <c r="AV36" s="34"/>
      <c r="AW36" s="30"/>
      <c r="AX36" s="32"/>
      <c r="BA36" s="93"/>
      <c r="BB36" s="93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7"/>
      <c r="DQ36" s="97"/>
      <c r="DR36" s="97"/>
      <c r="DS36" s="97"/>
      <c r="DT36" s="97"/>
      <c r="DU36" s="97"/>
      <c r="DV36" s="97"/>
      <c r="DW36" s="97"/>
    </row>
    <row r="37" spans="2:127" ht="30" customHeight="1" x14ac:dyDescent="0.25">
      <c r="B37" s="17">
        <v>1</v>
      </c>
      <c r="C37" s="64" t="s">
        <v>32</v>
      </c>
      <c r="D37" s="64"/>
      <c r="E37" s="12">
        <v>15</v>
      </c>
      <c r="F37" s="12">
        <v>20</v>
      </c>
      <c r="G37" s="12">
        <v>25</v>
      </c>
      <c r="H37" s="12">
        <v>20</v>
      </c>
      <c r="I37" s="63" t="s">
        <v>7</v>
      </c>
      <c r="J37" s="21"/>
      <c r="K37" s="21"/>
      <c r="L37" s="22"/>
      <c r="M37" s="63" t="s">
        <v>3</v>
      </c>
      <c r="N37" s="21"/>
      <c r="O37" s="21"/>
      <c r="P37" s="22"/>
      <c r="Q37" s="20" t="s">
        <v>3</v>
      </c>
      <c r="R37" s="21"/>
      <c r="S37" s="21"/>
      <c r="T37" s="22"/>
      <c r="U37" s="20" t="s">
        <v>6</v>
      </c>
      <c r="V37" s="21"/>
      <c r="W37" s="21"/>
      <c r="X37" s="22"/>
      <c r="Y37" s="20" t="s">
        <v>7</v>
      </c>
      <c r="Z37" s="21"/>
      <c r="AA37" s="21"/>
      <c r="AB37" s="22"/>
      <c r="AC37" s="20" t="s">
        <v>6</v>
      </c>
      <c r="AD37" s="21"/>
      <c r="AE37" s="21"/>
      <c r="AF37" s="22"/>
      <c r="AG37" s="20" t="s">
        <v>6</v>
      </c>
      <c r="AH37" s="21"/>
      <c r="AI37" s="21"/>
      <c r="AJ37" s="22"/>
      <c r="AK37" s="20" t="s">
        <v>7</v>
      </c>
      <c r="AL37" s="21"/>
      <c r="AM37" s="21"/>
      <c r="AN37" s="22"/>
      <c r="AO37" s="18">
        <v>2</v>
      </c>
      <c r="AP37" s="18">
        <v>2</v>
      </c>
      <c r="AQ37" s="18">
        <v>4</v>
      </c>
      <c r="AR37" s="99"/>
      <c r="AS37" s="101"/>
      <c r="AT37" s="101"/>
      <c r="AU37" s="101"/>
      <c r="AV37" s="101"/>
      <c r="AW37" s="101"/>
      <c r="AX37" s="17">
        <v>1</v>
      </c>
      <c r="BA37" s="93"/>
      <c r="BB37" s="93"/>
      <c r="BC37" s="94"/>
      <c r="BD37" s="94"/>
      <c r="BE37" s="94" cm="1">
        <f t="array" ref="BE37">_xlfn.IFS(BE49="○",3,BE49="▽",1,BE49="●",9)</f>
        <v>3</v>
      </c>
      <c r="BF37" s="94" cm="1">
        <f t="array" ref="BF37">_xlfn.IFS(BF49="○",3,BF49="▽",1,BF49="●",9)</f>
        <v>9</v>
      </c>
      <c r="BG37" s="94" cm="1">
        <f t="array" ref="BG37">_xlfn.IFS(BG49="○",3,BG49="▽",1,BG49="●",9)</f>
        <v>9</v>
      </c>
      <c r="BH37" s="94" cm="1">
        <f t="array" ref="BH37">_xlfn.IFS(BH49="○",3,BH49="▽",1,BH49="●",9)</f>
        <v>1</v>
      </c>
      <c r="BI37" s="94" cm="1">
        <f t="array" ref="BI37">_xlfn.IFS(BI49="○",3,BI49="▽",1,BI49="●",9)</f>
        <v>3</v>
      </c>
      <c r="BJ37" s="94" cm="1">
        <f t="array" ref="BJ37">_xlfn.IFS(BJ49="○",3,BJ49="▽",1,BJ49="●",9)</f>
        <v>1</v>
      </c>
      <c r="BK37" s="94" cm="1">
        <f t="array" ref="BK37">_xlfn.IFS(BK49="○",3,BK49="▽",1,BK49="●",9)</f>
        <v>1</v>
      </c>
      <c r="BL37" s="94" cm="1">
        <f t="array" ref="BL37">_xlfn.IFS(BL49="○",3,BL49="▽",1,BL49="●",9)</f>
        <v>3</v>
      </c>
      <c r="BM37" s="94"/>
      <c r="BN37" s="94"/>
      <c r="BO37" s="94" t="e">
        <f>#REF!</f>
        <v>#REF!</v>
      </c>
      <c r="BP37" s="94"/>
      <c r="BQ37" s="93">
        <f>($E37*BE37)</f>
        <v>45</v>
      </c>
      <c r="BR37" s="93">
        <f>($E37*BF37)</f>
        <v>135</v>
      </c>
      <c r="BS37" s="93">
        <f>($E37*BG37)</f>
        <v>135</v>
      </c>
      <c r="BT37" s="93">
        <f>($E37*BH37)</f>
        <v>15</v>
      </c>
      <c r="BU37" s="93">
        <f>($E37*BI37)</f>
        <v>45</v>
      </c>
      <c r="BV37" s="93">
        <f>($E37*BJ37)</f>
        <v>15</v>
      </c>
      <c r="BW37" s="93">
        <f>($E37*BK37)</f>
        <v>15</v>
      </c>
      <c r="BX37" s="93">
        <f>($E37*BL37)</f>
        <v>45</v>
      </c>
      <c r="BY37" s="93"/>
      <c r="BZ37" s="93"/>
      <c r="CA37" s="93"/>
      <c r="CB37" s="94" t="e">
        <f>#REF!</f>
        <v>#REF!</v>
      </c>
      <c r="CC37" s="93"/>
      <c r="CD37" s="93">
        <f>($F37*BE37)</f>
        <v>60</v>
      </c>
      <c r="CE37" s="93">
        <f>($F37*BF37)</f>
        <v>180</v>
      </c>
      <c r="CF37" s="93">
        <f>($F37*BG37)</f>
        <v>180</v>
      </c>
      <c r="CG37" s="93">
        <f>($F37*BH37)</f>
        <v>20</v>
      </c>
      <c r="CH37" s="93">
        <f>($F37*BI37)</f>
        <v>60</v>
      </c>
      <c r="CI37" s="93">
        <f>($F37*BJ37)</f>
        <v>20</v>
      </c>
      <c r="CJ37" s="93">
        <f>($F37*BK37)</f>
        <v>20</v>
      </c>
      <c r="CK37" s="93">
        <f>($F37*BL37)</f>
        <v>60</v>
      </c>
      <c r="CL37" s="93"/>
      <c r="CM37" s="93"/>
      <c r="CN37" s="94" t="e">
        <f>#REF!</f>
        <v>#REF!</v>
      </c>
      <c r="CO37" s="93"/>
      <c r="CP37" s="93">
        <f>($G37*BE37)</f>
        <v>75</v>
      </c>
      <c r="CQ37" s="93">
        <f>($G37*BF37)</f>
        <v>225</v>
      </c>
      <c r="CR37" s="93">
        <f>($G37*BG37)</f>
        <v>225</v>
      </c>
      <c r="CS37" s="93">
        <f>($G37*BH37)</f>
        <v>25</v>
      </c>
      <c r="CT37" s="93">
        <f>($G37*BI37)</f>
        <v>75</v>
      </c>
      <c r="CU37" s="93">
        <f>($G37*BJ37)</f>
        <v>25</v>
      </c>
      <c r="CV37" s="93">
        <f>($G37*BK37)</f>
        <v>25</v>
      </c>
      <c r="CW37" s="93">
        <f>($G37*BL37)</f>
        <v>75</v>
      </c>
      <c r="CX37" s="93"/>
      <c r="CY37" s="93"/>
      <c r="CZ37" s="93"/>
      <c r="DA37" s="94" t="e">
        <f>#REF!</f>
        <v>#REF!</v>
      </c>
      <c r="DB37" s="93"/>
      <c r="DC37" s="93">
        <f>($H37*BE37)</f>
        <v>60</v>
      </c>
      <c r="DD37" s="93">
        <f>($H37*BF37)</f>
        <v>180</v>
      </c>
      <c r="DE37" s="93">
        <f>($H37*BG37)</f>
        <v>180</v>
      </c>
      <c r="DF37" s="93">
        <f>($H37*BH37)</f>
        <v>20</v>
      </c>
      <c r="DG37" s="93">
        <f>($H37*BI37)</f>
        <v>60</v>
      </c>
      <c r="DH37" s="93">
        <f>($H37*BJ37)</f>
        <v>20</v>
      </c>
      <c r="DI37" s="93">
        <f>($H37*BK37)</f>
        <v>20</v>
      </c>
      <c r="DJ37" s="93">
        <f>($H37*BL37)</f>
        <v>60</v>
      </c>
      <c r="DK37" s="93"/>
      <c r="DL37" s="93"/>
      <c r="DM37" s="93"/>
      <c r="DN37" s="93"/>
      <c r="DO37" s="93"/>
      <c r="DP37" s="97"/>
      <c r="DQ37" s="97"/>
      <c r="DR37" s="97"/>
      <c r="DS37" s="97"/>
      <c r="DT37" s="97"/>
      <c r="DU37" s="97"/>
      <c r="DV37" s="97"/>
      <c r="DW37" s="97"/>
    </row>
    <row r="38" spans="2:127" ht="30" customHeight="1" x14ac:dyDescent="0.25">
      <c r="B38" s="17">
        <v>2</v>
      </c>
      <c r="C38" s="64" t="s">
        <v>33</v>
      </c>
      <c r="D38" s="64"/>
      <c r="E38" s="12">
        <v>15</v>
      </c>
      <c r="F38" s="12">
        <v>15</v>
      </c>
      <c r="G38" s="12">
        <v>10</v>
      </c>
      <c r="H38" s="12">
        <v>15</v>
      </c>
      <c r="I38" s="20" t="s">
        <v>7</v>
      </c>
      <c r="J38" s="21"/>
      <c r="K38" s="21"/>
      <c r="L38" s="22"/>
      <c r="M38" s="20" t="s">
        <v>7</v>
      </c>
      <c r="N38" s="21"/>
      <c r="O38" s="21"/>
      <c r="P38" s="22"/>
      <c r="Q38" s="20" t="s">
        <v>7</v>
      </c>
      <c r="R38" s="21"/>
      <c r="S38" s="21"/>
      <c r="T38" s="22"/>
      <c r="U38" s="20" t="s">
        <v>7</v>
      </c>
      <c r="V38" s="21"/>
      <c r="W38" s="21"/>
      <c r="X38" s="22"/>
      <c r="Y38" s="20" t="s">
        <v>6</v>
      </c>
      <c r="Z38" s="21"/>
      <c r="AA38" s="21"/>
      <c r="AB38" s="22"/>
      <c r="AC38" s="20" t="s">
        <v>6</v>
      </c>
      <c r="AD38" s="21"/>
      <c r="AE38" s="21"/>
      <c r="AF38" s="22"/>
      <c r="AG38" s="20" t="s">
        <v>6</v>
      </c>
      <c r="AH38" s="21"/>
      <c r="AI38" s="21"/>
      <c r="AJ38" s="22"/>
      <c r="AK38" s="20" t="s">
        <v>6</v>
      </c>
      <c r="AL38" s="21"/>
      <c r="AM38" s="21"/>
      <c r="AN38" s="22"/>
      <c r="AO38" s="18">
        <v>5</v>
      </c>
      <c r="AP38" s="18">
        <v>5</v>
      </c>
      <c r="AQ38" s="18">
        <v>4</v>
      </c>
      <c r="AR38" s="100"/>
      <c r="AS38" s="5"/>
      <c r="AT38" s="5"/>
      <c r="AU38" s="5"/>
      <c r="AV38" s="5"/>
      <c r="AW38" s="5"/>
      <c r="AX38" s="17">
        <v>2</v>
      </c>
      <c r="BA38" s="93"/>
      <c r="BB38" s="93"/>
      <c r="BC38" s="94"/>
      <c r="BD38" s="94"/>
      <c r="BE38" s="94" cm="1">
        <f t="array" ref="BE38">_xlfn.IFS(BE50="○",3,BE50="▽",1,BE50="●",9)</f>
        <v>3</v>
      </c>
      <c r="BF38" s="94" cm="1">
        <f t="array" ref="BF38">_xlfn.IFS(BF50="○",3,BF50="▽",1,BF50="●",9)</f>
        <v>3</v>
      </c>
      <c r="BG38" s="94" cm="1">
        <f t="array" ref="BG38">_xlfn.IFS(BG50="○",3,BG50="▽",1,BG50="●",9)</f>
        <v>3</v>
      </c>
      <c r="BH38" s="94" cm="1">
        <f t="array" ref="BH38">_xlfn.IFS(BH50="○",3,BH50="▽",1,BH50="●",9)</f>
        <v>3</v>
      </c>
      <c r="BI38" s="94" cm="1">
        <f t="array" ref="BI38">_xlfn.IFS(BI50="○",3,BI50="▽",1,BI50="●",9)</f>
        <v>1</v>
      </c>
      <c r="BJ38" s="94" cm="1">
        <f t="array" ref="BJ38">_xlfn.IFS(BJ50="○",3,BJ50="▽",1,BJ50="●",9)</f>
        <v>1</v>
      </c>
      <c r="BK38" s="94" cm="1">
        <f t="array" ref="BK38">_xlfn.IFS(BK50="○",3,BK50="▽",1,BK50="●",9)</f>
        <v>1</v>
      </c>
      <c r="BL38" s="94" cm="1">
        <f t="array" ref="BL38">_xlfn.IFS(BL50="○",3,BL50="▽",1,BL50="●",9)</f>
        <v>1</v>
      </c>
      <c r="BM38" s="94"/>
      <c r="BN38" s="94"/>
      <c r="BO38" s="94"/>
      <c r="BP38" s="94"/>
      <c r="BQ38" s="93">
        <f>($E38*BE38)</f>
        <v>45</v>
      </c>
      <c r="BR38" s="93">
        <f>($E38*BF38)</f>
        <v>45</v>
      </c>
      <c r="BS38" s="93">
        <f>($E38*BG38)</f>
        <v>45</v>
      </c>
      <c r="BT38" s="93">
        <f>($E38*BH38)</f>
        <v>45</v>
      </c>
      <c r="BU38" s="93">
        <f>($E38*BI38)</f>
        <v>15</v>
      </c>
      <c r="BV38" s="93">
        <f>($E38*BJ38)</f>
        <v>15</v>
      </c>
      <c r="BW38" s="93">
        <f>($E38*BK38)</f>
        <v>15</v>
      </c>
      <c r="BX38" s="93">
        <f>($E38*BL38)</f>
        <v>15</v>
      </c>
      <c r="BY38" s="93"/>
      <c r="BZ38" s="93"/>
      <c r="CA38" s="93"/>
      <c r="CB38" s="93"/>
      <c r="CC38" s="93"/>
      <c r="CD38" s="93">
        <f>($F38*BE38)</f>
        <v>45</v>
      </c>
      <c r="CE38" s="93">
        <f>($F38*BF38)</f>
        <v>45</v>
      </c>
      <c r="CF38" s="93">
        <f>($F38*BG38)</f>
        <v>45</v>
      </c>
      <c r="CG38" s="93">
        <f>($F38*BH38)</f>
        <v>45</v>
      </c>
      <c r="CH38" s="93">
        <f>($F38*BI38)</f>
        <v>15</v>
      </c>
      <c r="CI38" s="93">
        <f>($F38*BJ38)</f>
        <v>15</v>
      </c>
      <c r="CJ38" s="93">
        <f>($F38*BK38)</f>
        <v>15</v>
      </c>
      <c r="CK38" s="93">
        <f>($F38*BL38)</f>
        <v>15</v>
      </c>
      <c r="CL38" s="93"/>
      <c r="CM38" s="93"/>
      <c r="CN38" s="93"/>
      <c r="CO38" s="93"/>
      <c r="CP38" s="93">
        <f>($G38*BE38)</f>
        <v>30</v>
      </c>
      <c r="CQ38" s="93">
        <f>($G38*BF38)</f>
        <v>30</v>
      </c>
      <c r="CR38" s="93">
        <f>($G38*BG38)</f>
        <v>30</v>
      </c>
      <c r="CS38" s="93">
        <f>($G38*BH38)</f>
        <v>30</v>
      </c>
      <c r="CT38" s="93">
        <f>($G38*BI38)</f>
        <v>10</v>
      </c>
      <c r="CU38" s="93">
        <f>($G38*BJ38)</f>
        <v>10</v>
      </c>
      <c r="CV38" s="93">
        <f>($G38*BK38)</f>
        <v>10</v>
      </c>
      <c r="CW38" s="93">
        <f>($G38*BL38)</f>
        <v>10</v>
      </c>
      <c r="CX38" s="93"/>
      <c r="CY38" s="93"/>
      <c r="CZ38" s="93"/>
      <c r="DA38" s="93"/>
      <c r="DB38" s="93"/>
      <c r="DC38" s="93">
        <f>($H38*BE38)</f>
        <v>45</v>
      </c>
      <c r="DD38" s="93">
        <f>($H38*BF38)</f>
        <v>45</v>
      </c>
      <c r="DE38" s="93">
        <f>($H38*BG38)</f>
        <v>45</v>
      </c>
      <c r="DF38" s="93">
        <f>($H38*BH38)</f>
        <v>45</v>
      </c>
      <c r="DG38" s="93">
        <f>($H38*BI38)</f>
        <v>15</v>
      </c>
      <c r="DH38" s="93">
        <f>($H38*BJ38)</f>
        <v>15</v>
      </c>
      <c r="DI38" s="93">
        <f>($H38*BK38)</f>
        <v>15</v>
      </c>
      <c r="DJ38" s="93">
        <f>($H38*BL38)</f>
        <v>15</v>
      </c>
      <c r="DK38" s="93"/>
      <c r="DL38" s="93"/>
      <c r="DM38" s="93"/>
      <c r="DN38" s="93"/>
      <c r="DO38" s="93"/>
      <c r="DP38" s="97"/>
      <c r="DQ38" s="97"/>
      <c r="DR38" s="97"/>
      <c r="DS38" s="97"/>
      <c r="DT38" s="97"/>
      <c r="DU38" s="97"/>
      <c r="DV38" s="97"/>
      <c r="DW38" s="97"/>
    </row>
    <row r="39" spans="2:127" ht="30" customHeight="1" x14ac:dyDescent="0.25">
      <c r="B39" s="17">
        <v>3</v>
      </c>
      <c r="C39" s="64" t="s">
        <v>34</v>
      </c>
      <c r="D39" s="64"/>
      <c r="E39" s="12">
        <v>15</v>
      </c>
      <c r="F39" s="12">
        <v>5</v>
      </c>
      <c r="G39" s="12">
        <v>15</v>
      </c>
      <c r="H39" s="12">
        <v>10</v>
      </c>
      <c r="I39" s="63" t="s">
        <v>6</v>
      </c>
      <c r="J39" s="21"/>
      <c r="K39" s="21"/>
      <c r="L39" s="22"/>
      <c r="M39" s="20" t="s">
        <v>6</v>
      </c>
      <c r="N39" s="21"/>
      <c r="O39" s="21"/>
      <c r="P39" s="22"/>
      <c r="Q39" s="20" t="s">
        <v>6</v>
      </c>
      <c r="R39" s="21"/>
      <c r="S39" s="21"/>
      <c r="T39" s="22"/>
      <c r="U39" s="20" t="s">
        <v>7</v>
      </c>
      <c r="V39" s="21"/>
      <c r="W39" s="21"/>
      <c r="X39" s="22"/>
      <c r="Y39" s="20" t="s">
        <v>6</v>
      </c>
      <c r="Z39" s="21"/>
      <c r="AA39" s="21"/>
      <c r="AB39" s="22"/>
      <c r="AC39" s="20" t="s">
        <v>6</v>
      </c>
      <c r="AD39" s="21"/>
      <c r="AE39" s="21"/>
      <c r="AF39" s="22"/>
      <c r="AG39" s="20" t="s">
        <v>3</v>
      </c>
      <c r="AH39" s="21"/>
      <c r="AI39" s="21"/>
      <c r="AJ39" s="22"/>
      <c r="AK39" s="20" t="s">
        <v>3</v>
      </c>
      <c r="AL39" s="21"/>
      <c r="AM39" s="21"/>
      <c r="AN39" s="22"/>
      <c r="AO39" s="18">
        <v>5</v>
      </c>
      <c r="AP39" s="18">
        <v>4</v>
      </c>
      <c r="AQ39" s="18">
        <v>4</v>
      </c>
      <c r="AR39" s="100"/>
      <c r="AS39" s="5"/>
      <c r="AT39" s="5"/>
      <c r="AU39" s="5"/>
      <c r="AV39" s="5"/>
      <c r="AW39" s="5"/>
      <c r="AX39" s="17">
        <v>3</v>
      </c>
      <c r="BA39" s="93"/>
      <c r="BB39" s="93"/>
      <c r="BC39" s="94"/>
      <c r="BD39" s="94"/>
      <c r="BE39" s="94" cm="1">
        <f t="array" ref="BE39">_xlfn.IFS(BE51="○",3,BE51="▽",1,BE51="●",9)</f>
        <v>1</v>
      </c>
      <c r="BF39" s="94" cm="1">
        <f t="array" ref="BF39">_xlfn.IFS(BF51="○",3,BF51="▽",1,BF51="●",9)</f>
        <v>1</v>
      </c>
      <c r="BG39" s="94" cm="1">
        <f t="array" ref="BG39">_xlfn.IFS(BG51="○",3,BG51="▽",1,BG51="●",9)</f>
        <v>1</v>
      </c>
      <c r="BH39" s="94" cm="1">
        <f t="array" ref="BH39">_xlfn.IFS(BH51="○",3,BH51="▽",1,BH51="●",9)</f>
        <v>3</v>
      </c>
      <c r="BI39" s="94" cm="1">
        <f t="array" ref="BI39">_xlfn.IFS(BI51="○",3,BI51="▽",1,BI51="●",9)</f>
        <v>1</v>
      </c>
      <c r="BJ39" s="94" cm="1">
        <f t="array" ref="BJ39">_xlfn.IFS(BJ51="○",3,BJ51="▽",1,BJ51="●",9)</f>
        <v>1</v>
      </c>
      <c r="BK39" s="94" cm="1">
        <f t="array" ref="BK39">_xlfn.IFS(BK51="○",3,BK51="▽",1,BK51="●",9)</f>
        <v>9</v>
      </c>
      <c r="BL39" s="94" cm="1">
        <f t="array" ref="BL39">_xlfn.IFS(BL51="○",3,BL51="▽",1,BL51="●",9)</f>
        <v>9</v>
      </c>
      <c r="BM39" s="94"/>
      <c r="BN39" s="94"/>
      <c r="BO39" s="94"/>
      <c r="BP39" s="94"/>
      <c r="BQ39" s="93">
        <f>($E39*BE39)</f>
        <v>15</v>
      </c>
      <c r="BR39" s="93">
        <f>($E39*BF39)</f>
        <v>15</v>
      </c>
      <c r="BS39" s="93">
        <f>($E39*BG39)</f>
        <v>15</v>
      </c>
      <c r="BT39" s="93">
        <f>($E39*BH39)</f>
        <v>45</v>
      </c>
      <c r="BU39" s="93">
        <f>($E39*BI39)</f>
        <v>15</v>
      </c>
      <c r="BV39" s="93">
        <f>($E39*BJ39)</f>
        <v>15</v>
      </c>
      <c r="BW39" s="93">
        <f>($E39*BK39)</f>
        <v>135</v>
      </c>
      <c r="BX39" s="93">
        <f>($E39*BL39)</f>
        <v>135</v>
      </c>
      <c r="BY39" s="93"/>
      <c r="BZ39" s="93"/>
      <c r="CA39" s="93"/>
      <c r="CB39" s="93"/>
      <c r="CC39" s="93"/>
      <c r="CD39" s="93">
        <f>($F39*BE39)</f>
        <v>5</v>
      </c>
      <c r="CE39" s="93">
        <f>($F39*BF39)</f>
        <v>5</v>
      </c>
      <c r="CF39" s="93">
        <f>($F39*BG39)</f>
        <v>5</v>
      </c>
      <c r="CG39" s="93">
        <f>($F39*BH39)</f>
        <v>15</v>
      </c>
      <c r="CH39" s="93">
        <f>($F39*BI39)</f>
        <v>5</v>
      </c>
      <c r="CI39" s="93">
        <f>($F39*BJ39)</f>
        <v>5</v>
      </c>
      <c r="CJ39" s="93">
        <f>($F39*BK39)</f>
        <v>45</v>
      </c>
      <c r="CK39" s="93">
        <f>($F39*BL39)</f>
        <v>45</v>
      </c>
      <c r="CL39" s="93"/>
      <c r="CM39" s="93"/>
      <c r="CN39" s="93"/>
      <c r="CO39" s="93"/>
      <c r="CP39" s="93">
        <f>($G39*BE39)</f>
        <v>15</v>
      </c>
      <c r="CQ39" s="93">
        <f>($G39*BF39)</f>
        <v>15</v>
      </c>
      <c r="CR39" s="93">
        <f>($G39*BG39)</f>
        <v>15</v>
      </c>
      <c r="CS39" s="93">
        <f>($G39*BH39)</f>
        <v>45</v>
      </c>
      <c r="CT39" s="93">
        <f>($G39*BI39)</f>
        <v>15</v>
      </c>
      <c r="CU39" s="93">
        <f>($G39*BJ39)</f>
        <v>15</v>
      </c>
      <c r="CV39" s="93">
        <f>($G39*BK39)</f>
        <v>135</v>
      </c>
      <c r="CW39" s="93">
        <f>($G39*BL39)</f>
        <v>135</v>
      </c>
      <c r="CX39" s="93"/>
      <c r="CY39" s="93"/>
      <c r="CZ39" s="93"/>
      <c r="DA39" s="93"/>
      <c r="DB39" s="93"/>
      <c r="DC39" s="93">
        <f>($H39*BE39)</f>
        <v>10</v>
      </c>
      <c r="DD39" s="93">
        <f>($H39*BF39)</f>
        <v>10</v>
      </c>
      <c r="DE39" s="93">
        <f>($H39*BG39)</f>
        <v>10</v>
      </c>
      <c r="DF39" s="93">
        <f>($H39*BH39)</f>
        <v>30</v>
      </c>
      <c r="DG39" s="93">
        <f>($H39*BI39)</f>
        <v>10</v>
      </c>
      <c r="DH39" s="93">
        <f>($H39*BJ39)</f>
        <v>10</v>
      </c>
      <c r="DI39" s="93">
        <f>($H39*BK39)</f>
        <v>90</v>
      </c>
      <c r="DJ39" s="93">
        <f>($H39*BL39)</f>
        <v>90</v>
      </c>
      <c r="DK39" s="93"/>
      <c r="DL39" s="93"/>
      <c r="DM39" s="93"/>
      <c r="DN39" s="93"/>
      <c r="DO39" s="93"/>
      <c r="DP39" s="97"/>
      <c r="DQ39" s="97"/>
      <c r="DR39" s="97"/>
      <c r="DS39" s="97"/>
      <c r="DT39" s="97"/>
      <c r="DU39" s="97"/>
      <c r="DV39" s="97"/>
      <c r="DW39" s="97"/>
    </row>
    <row r="40" spans="2:127" ht="30" customHeight="1" x14ac:dyDescent="0.25">
      <c r="B40" s="17">
        <v>4</v>
      </c>
      <c r="C40" s="64" t="s">
        <v>35</v>
      </c>
      <c r="D40" s="64"/>
      <c r="E40" s="12">
        <v>10</v>
      </c>
      <c r="F40" s="12">
        <v>10</v>
      </c>
      <c r="G40" s="12">
        <v>15</v>
      </c>
      <c r="H40" s="12">
        <v>10</v>
      </c>
      <c r="I40" s="20" t="s">
        <v>6</v>
      </c>
      <c r="J40" s="21"/>
      <c r="K40" s="21"/>
      <c r="L40" s="22"/>
      <c r="M40" s="20" t="s">
        <v>7</v>
      </c>
      <c r="N40" s="21"/>
      <c r="O40" s="21"/>
      <c r="P40" s="22"/>
      <c r="Q40" s="20" t="s">
        <v>6</v>
      </c>
      <c r="R40" s="21"/>
      <c r="S40" s="21"/>
      <c r="T40" s="22"/>
      <c r="U40" s="20" t="s">
        <v>6</v>
      </c>
      <c r="V40" s="21"/>
      <c r="W40" s="21"/>
      <c r="X40" s="22"/>
      <c r="Y40" s="20" t="s">
        <v>7</v>
      </c>
      <c r="Z40" s="21"/>
      <c r="AA40" s="21"/>
      <c r="AB40" s="22"/>
      <c r="AC40" s="20" t="s">
        <v>6</v>
      </c>
      <c r="AD40" s="21"/>
      <c r="AE40" s="21"/>
      <c r="AF40" s="22"/>
      <c r="AG40" s="20" t="s">
        <v>3</v>
      </c>
      <c r="AH40" s="21"/>
      <c r="AI40" s="21"/>
      <c r="AJ40" s="22"/>
      <c r="AK40" s="20" t="s">
        <v>3</v>
      </c>
      <c r="AL40" s="21"/>
      <c r="AM40" s="21"/>
      <c r="AN40" s="22"/>
      <c r="AO40" s="18">
        <v>5</v>
      </c>
      <c r="AP40" s="18">
        <v>5</v>
      </c>
      <c r="AQ40" s="18">
        <v>5</v>
      </c>
      <c r="AR40" s="100"/>
      <c r="AS40" s="5"/>
      <c r="AT40" s="5"/>
      <c r="AU40" s="5"/>
      <c r="AV40" s="5"/>
      <c r="AW40" s="5"/>
      <c r="AX40" s="17">
        <v>4</v>
      </c>
      <c r="BA40" s="93"/>
      <c r="BB40" s="93"/>
      <c r="BC40" s="94"/>
      <c r="BD40" s="94"/>
      <c r="BE40" s="94" cm="1">
        <f t="array" ref="BE40">_xlfn.IFS(BE52="○",3,BE52="▽",1,BE52="●",9)</f>
        <v>1</v>
      </c>
      <c r="BF40" s="94" cm="1">
        <f t="array" ref="BF40">_xlfn.IFS(BF52="○",3,BF52="▽",1,BF52="●",9)</f>
        <v>3</v>
      </c>
      <c r="BG40" s="94" cm="1">
        <f t="array" ref="BG40">_xlfn.IFS(BG52="○",3,BG52="▽",1,BG52="●",9)</f>
        <v>1</v>
      </c>
      <c r="BH40" s="94" cm="1">
        <f t="array" ref="BH40">_xlfn.IFS(BH52="○",3,BH52="▽",1,BH52="●",9)</f>
        <v>1</v>
      </c>
      <c r="BI40" s="94" cm="1">
        <f t="array" ref="BI40">_xlfn.IFS(BI52="○",3,BI52="▽",1,BI52="●",9)</f>
        <v>3</v>
      </c>
      <c r="BJ40" s="94" cm="1">
        <f t="array" ref="BJ40">_xlfn.IFS(BJ52="○",3,BJ52="▽",1,BJ52="●",9)</f>
        <v>1</v>
      </c>
      <c r="BK40" s="94" cm="1">
        <f t="array" ref="BK40">_xlfn.IFS(BK52="○",3,BK52="▽",1,BK52="●",9)</f>
        <v>9</v>
      </c>
      <c r="BL40" s="94" cm="1">
        <f t="array" ref="BL40">_xlfn.IFS(BL52="○",3,BL52="▽",1,BL52="●",9)</f>
        <v>9</v>
      </c>
      <c r="BM40" s="94"/>
      <c r="BN40" s="94"/>
      <c r="BO40" s="94"/>
      <c r="BP40" s="94"/>
      <c r="BQ40" s="93">
        <f>($E40*BE40)</f>
        <v>10</v>
      </c>
      <c r="BR40" s="93">
        <f>($E40*BF40)</f>
        <v>30</v>
      </c>
      <c r="BS40" s="93">
        <f>($E40*BG40)</f>
        <v>10</v>
      </c>
      <c r="BT40" s="93">
        <f>($E40*BH40)</f>
        <v>10</v>
      </c>
      <c r="BU40" s="93">
        <f>($E40*BI40)</f>
        <v>30</v>
      </c>
      <c r="BV40" s="93">
        <f>($E40*BJ40)</f>
        <v>10</v>
      </c>
      <c r="BW40" s="93">
        <f>($E40*BK40)</f>
        <v>90</v>
      </c>
      <c r="BX40" s="93">
        <f>($E40*BL40)</f>
        <v>90</v>
      </c>
      <c r="BY40" s="93"/>
      <c r="BZ40" s="93"/>
      <c r="CA40" s="93"/>
      <c r="CB40" s="93"/>
      <c r="CC40" s="93"/>
      <c r="CD40" s="93">
        <f>($F40*BE40)</f>
        <v>10</v>
      </c>
      <c r="CE40" s="93">
        <f>($F40*BF40)</f>
        <v>30</v>
      </c>
      <c r="CF40" s="93">
        <f>($F40*BG40)</f>
        <v>10</v>
      </c>
      <c r="CG40" s="93">
        <f>($F40*BH40)</f>
        <v>10</v>
      </c>
      <c r="CH40" s="93">
        <f>($F40*BI40)</f>
        <v>30</v>
      </c>
      <c r="CI40" s="93">
        <f>($F40*BJ40)</f>
        <v>10</v>
      </c>
      <c r="CJ40" s="93">
        <f>($F40*BK40)</f>
        <v>90</v>
      </c>
      <c r="CK40" s="93">
        <f>($F40*BL40)</f>
        <v>90</v>
      </c>
      <c r="CL40" s="93"/>
      <c r="CM40" s="93"/>
      <c r="CN40" s="93"/>
      <c r="CO40" s="93"/>
      <c r="CP40" s="93">
        <f>($G40*BE40)</f>
        <v>15</v>
      </c>
      <c r="CQ40" s="93">
        <f>($G40*BF40)</f>
        <v>45</v>
      </c>
      <c r="CR40" s="93">
        <f>($G40*BG40)</f>
        <v>15</v>
      </c>
      <c r="CS40" s="93">
        <f>($G40*BH40)</f>
        <v>15</v>
      </c>
      <c r="CT40" s="93">
        <f>($G40*BI40)</f>
        <v>45</v>
      </c>
      <c r="CU40" s="93">
        <f>($G40*BJ40)</f>
        <v>15</v>
      </c>
      <c r="CV40" s="93">
        <f>($G40*BK40)</f>
        <v>135</v>
      </c>
      <c r="CW40" s="93">
        <f>($G40*BL40)</f>
        <v>135</v>
      </c>
      <c r="CX40" s="93"/>
      <c r="CY40" s="93"/>
      <c r="CZ40" s="93"/>
      <c r="DA40" s="93"/>
      <c r="DB40" s="93"/>
      <c r="DC40" s="93">
        <f>($H40*BE40)</f>
        <v>10</v>
      </c>
      <c r="DD40" s="93">
        <f>($H40*BF40)</f>
        <v>30</v>
      </c>
      <c r="DE40" s="93">
        <f>($H40*BG40)</f>
        <v>10</v>
      </c>
      <c r="DF40" s="93">
        <f>($H40*BH40)</f>
        <v>10</v>
      </c>
      <c r="DG40" s="93">
        <f>($H40*BI40)</f>
        <v>30</v>
      </c>
      <c r="DH40" s="93">
        <f>($H40*BJ40)</f>
        <v>10</v>
      </c>
      <c r="DI40" s="93">
        <f>($H40*BK40)</f>
        <v>90</v>
      </c>
      <c r="DJ40" s="93">
        <f>($H40*BL40)</f>
        <v>90</v>
      </c>
      <c r="DK40" s="93"/>
      <c r="DL40" s="93"/>
      <c r="DM40" s="93"/>
      <c r="DN40" s="93"/>
      <c r="DO40" s="93"/>
      <c r="DP40" s="97"/>
      <c r="DQ40" s="97"/>
      <c r="DR40" s="97"/>
      <c r="DS40" s="97"/>
      <c r="DT40" s="97"/>
      <c r="DU40" s="97"/>
      <c r="DV40" s="97"/>
      <c r="DW40" s="97"/>
    </row>
    <row r="41" spans="2:127" ht="30" customHeight="1" x14ac:dyDescent="0.25">
      <c r="B41" s="17">
        <v>5</v>
      </c>
      <c r="C41" s="63" t="s">
        <v>43</v>
      </c>
      <c r="D41" s="65"/>
      <c r="E41" s="12">
        <v>15</v>
      </c>
      <c r="F41" s="12">
        <v>5</v>
      </c>
      <c r="G41" s="12">
        <v>10</v>
      </c>
      <c r="H41" s="12">
        <v>10</v>
      </c>
      <c r="I41" s="20" t="s">
        <v>7</v>
      </c>
      <c r="J41" s="21"/>
      <c r="K41" s="21"/>
      <c r="L41" s="22"/>
      <c r="M41" s="20" t="s">
        <v>3</v>
      </c>
      <c r="N41" s="21"/>
      <c r="O41" s="21"/>
      <c r="P41" s="22"/>
      <c r="Q41" s="20" t="s">
        <v>3</v>
      </c>
      <c r="R41" s="21"/>
      <c r="S41" s="21"/>
      <c r="T41" s="22"/>
      <c r="U41" s="20" t="s">
        <v>7</v>
      </c>
      <c r="V41" s="21"/>
      <c r="W41" s="21"/>
      <c r="X41" s="22"/>
      <c r="Y41" s="20" t="s">
        <v>3</v>
      </c>
      <c r="Z41" s="21"/>
      <c r="AA41" s="21"/>
      <c r="AB41" s="22"/>
      <c r="AC41" s="20" t="s">
        <v>7</v>
      </c>
      <c r="AD41" s="21"/>
      <c r="AE41" s="21"/>
      <c r="AF41" s="22"/>
      <c r="AG41" s="20" t="s">
        <v>6</v>
      </c>
      <c r="AH41" s="21"/>
      <c r="AI41" s="21"/>
      <c r="AJ41" s="22"/>
      <c r="AK41" s="20" t="s">
        <v>6</v>
      </c>
      <c r="AL41" s="21"/>
      <c r="AM41" s="21"/>
      <c r="AN41" s="22"/>
      <c r="AO41" s="18">
        <v>5</v>
      </c>
      <c r="AP41" s="18">
        <v>2</v>
      </c>
      <c r="AQ41" s="18">
        <v>1</v>
      </c>
      <c r="AR41" s="100"/>
      <c r="AS41" s="5"/>
      <c r="AT41" s="5"/>
      <c r="AU41" s="5"/>
      <c r="AV41" s="5"/>
      <c r="AW41" s="5"/>
      <c r="AX41" s="17">
        <v>5</v>
      </c>
      <c r="BA41" s="93"/>
      <c r="BB41" s="93"/>
      <c r="BC41" s="94"/>
      <c r="BD41" s="94"/>
      <c r="BE41" s="94" cm="1">
        <f t="array" ref="BE41">_xlfn.IFS(BE53="○",3,BE53="▽",1,BE53="●",9)</f>
        <v>3</v>
      </c>
      <c r="BF41" s="94" cm="1">
        <f t="array" ref="BF41">_xlfn.IFS(BF53="○",3,BF53="▽",1,BF53="●",9)</f>
        <v>9</v>
      </c>
      <c r="BG41" s="94" cm="1">
        <f t="array" ref="BG41">_xlfn.IFS(BG53="○",3,BG53="▽",1,BG53="●",9)</f>
        <v>9</v>
      </c>
      <c r="BH41" s="94" cm="1">
        <f t="array" ref="BH41">_xlfn.IFS(BH53="○",3,BH53="▽",1,BH53="●",9)</f>
        <v>3</v>
      </c>
      <c r="BI41" s="94" cm="1">
        <f t="array" ref="BI41">_xlfn.IFS(BI53="○",3,BI53="▽",1,BI53="●",9)</f>
        <v>9</v>
      </c>
      <c r="BJ41" s="94" cm="1">
        <f t="array" ref="BJ41">_xlfn.IFS(BJ53="○",3,BJ53="▽",1,BJ53="●",9)</f>
        <v>3</v>
      </c>
      <c r="BK41" s="94" cm="1">
        <f t="array" ref="BK41">_xlfn.IFS(BK53="○",3,BK53="▽",1,BK53="●",9)</f>
        <v>1</v>
      </c>
      <c r="BL41" s="94" cm="1">
        <f t="array" ref="BL41">_xlfn.IFS(BL53="○",3,BL53="▽",1,BL53="●",9)</f>
        <v>1</v>
      </c>
      <c r="BM41" s="94"/>
      <c r="BN41" s="94"/>
      <c r="BO41" s="93"/>
      <c r="BP41" s="94"/>
      <c r="BQ41" s="93">
        <f>($E41*BE41)</f>
        <v>45</v>
      </c>
      <c r="BR41" s="93">
        <f>($E41*BF41)</f>
        <v>135</v>
      </c>
      <c r="BS41" s="93">
        <f>($E41*BG41)</f>
        <v>135</v>
      </c>
      <c r="BT41" s="93">
        <f>($E41*BH41)</f>
        <v>45</v>
      </c>
      <c r="BU41" s="93">
        <f>($E41*BI41)</f>
        <v>135</v>
      </c>
      <c r="BV41" s="93">
        <f>($E41*BJ41)</f>
        <v>45</v>
      </c>
      <c r="BW41" s="93">
        <f>($E41*BK41)</f>
        <v>15</v>
      </c>
      <c r="BX41" s="93">
        <f>($E41*BL41)</f>
        <v>15</v>
      </c>
      <c r="BY41" s="93"/>
      <c r="BZ41" s="93"/>
      <c r="CA41" s="93"/>
      <c r="CB41" s="93"/>
      <c r="CC41" s="93"/>
      <c r="CD41" s="93">
        <f>($F41*BE41)</f>
        <v>15</v>
      </c>
      <c r="CE41" s="93">
        <f>($F41*BF41)</f>
        <v>45</v>
      </c>
      <c r="CF41" s="93">
        <f>($F41*BG41)</f>
        <v>45</v>
      </c>
      <c r="CG41" s="93">
        <f>($F41*BH41)</f>
        <v>15</v>
      </c>
      <c r="CH41" s="93">
        <f>($F41*BI41)</f>
        <v>45</v>
      </c>
      <c r="CI41" s="93">
        <f>($F41*BJ41)</f>
        <v>15</v>
      </c>
      <c r="CJ41" s="93">
        <f>($F41*BK41)</f>
        <v>5</v>
      </c>
      <c r="CK41" s="93">
        <f>($F41*BL41)</f>
        <v>5</v>
      </c>
      <c r="CL41" s="93"/>
      <c r="CM41" s="93"/>
      <c r="CN41" s="93"/>
      <c r="CO41" s="93"/>
      <c r="CP41" s="93">
        <f>($G41*BE41)</f>
        <v>30</v>
      </c>
      <c r="CQ41" s="93">
        <f>($G41*BF41)</f>
        <v>90</v>
      </c>
      <c r="CR41" s="93">
        <f>($G41*BG41)</f>
        <v>90</v>
      </c>
      <c r="CS41" s="93">
        <f>($G41*BH41)</f>
        <v>30</v>
      </c>
      <c r="CT41" s="93">
        <f>($G41*BI41)</f>
        <v>90</v>
      </c>
      <c r="CU41" s="93">
        <f>($G41*BJ41)</f>
        <v>30</v>
      </c>
      <c r="CV41" s="93">
        <f>($G41*BK41)</f>
        <v>10</v>
      </c>
      <c r="CW41" s="93">
        <f>($G41*BL41)</f>
        <v>10</v>
      </c>
      <c r="CX41" s="93"/>
      <c r="CY41" s="93"/>
      <c r="CZ41" s="93"/>
      <c r="DA41" s="93"/>
      <c r="DB41" s="93"/>
      <c r="DC41" s="93">
        <f>($H41*BE41)</f>
        <v>30</v>
      </c>
      <c r="DD41" s="93">
        <f>($H41*BF41)</f>
        <v>90</v>
      </c>
      <c r="DE41" s="93">
        <f>($H41*BG41)</f>
        <v>90</v>
      </c>
      <c r="DF41" s="93">
        <f>($H41*BH41)</f>
        <v>30</v>
      </c>
      <c r="DG41" s="93">
        <f>($H41*BI41)</f>
        <v>90</v>
      </c>
      <c r="DH41" s="93">
        <f>($H41*BJ41)</f>
        <v>30</v>
      </c>
      <c r="DI41" s="93">
        <f>($H41*BK41)</f>
        <v>10</v>
      </c>
      <c r="DJ41" s="93">
        <f>($H41*BL41)</f>
        <v>10</v>
      </c>
      <c r="DK41" s="93"/>
      <c r="DL41" s="93"/>
      <c r="DM41" s="93"/>
      <c r="DN41" s="93"/>
      <c r="DO41" s="93"/>
      <c r="DP41" s="97"/>
      <c r="DQ41" s="97"/>
      <c r="DR41" s="97"/>
      <c r="DS41" s="97"/>
      <c r="DT41" s="97"/>
      <c r="DU41" s="97"/>
      <c r="DV41" s="97"/>
      <c r="DW41" s="97"/>
    </row>
    <row r="42" spans="2:127" ht="30" customHeight="1" x14ac:dyDescent="0.25">
      <c r="B42" s="17">
        <v>6</v>
      </c>
      <c r="C42" s="64" t="s">
        <v>30</v>
      </c>
      <c r="D42" s="64"/>
      <c r="E42" s="12">
        <v>10</v>
      </c>
      <c r="F42" s="12">
        <v>10</v>
      </c>
      <c r="G42" s="12">
        <v>5</v>
      </c>
      <c r="H42" s="12">
        <v>5</v>
      </c>
      <c r="I42" s="20" t="s">
        <v>6</v>
      </c>
      <c r="J42" s="21"/>
      <c r="K42" s="21"/>
      <c r="L42" s="22"/>
      <c r="M42" s="20" t="s">
        <v>6</v>
      </c>
      <c r="N42" s="21"/>
      <c r="O42" s="21"/>
      <c r="P42" s="22"/>
      <c r="Q42" s="20" t="s">
        <v>7</v>
      </c>
      <c r="R42" s="21"/>
      <c r="S42" s="21"/>
      <c r="T42" s="22"/>
      <c r="U42" s="20" t="s">
        <v>7</v>
      </c>
      <c r="V42" s="21"/>
      <c r="W42" s="21"/>
      <c r="X42" s="22"/>
      <c r="Y42" s="20" t="s">
        <v>6</v>
      </c>
      <c r="Z42" s="21"/>
      <c r="AA42" s="21"/>
      <c r="AB42" s="22"/>
      <c r="AC42" s="20" t="s">
        <v>3</v>
      </c>
      <c r="AD42" s="21"/>
      <c r="AE42" s="21"/>
      <c r="AF42" s="22"/>
      <c r="AG42" s="20" t="s">
        <v>6</v>
      </c>
      <c r="AH42" s="21"/>
      <c r="AI42" s="21"/>
      <c r="AJ42" s="22"/>
      <c r="AK42" s="20" t="s">
        <v>6</v>
      </c>
      <c r="AL42" s="21"/>
      <c r="AM42" s="21"/>
      <c r="AN42" s="22"/>
      <c r="AO42" s="18">
        <v>3</v>
      </c>
      <c r="AP42" s="18">
        <v>5</v>
      </c>
      <c r="AQ42" s="18">
        <v>3</v>
      </c>
      <c r="AR42" s="100"/>
      <c r="AS42" s="5"/>
      <c r="AT42" s="5"/>
      <c r="AU42" s="5"/>
      <c r="AV42" s="5"/>
      <c r="AW42" s="5"/>
      <c r="AX42" s="17">
        <v>6</v>
      </c>
      <c r="BA42" s="93"/>
      <c r="BB42" s="93"/>
      <c r="BC42" s="94"/>
      <c r="BD42" s="94"/>
      <c r="BE42" s="94" cm="1">
        <f t="array" ref="BE42">_xlfn.IFS(BE54="○",3,BE54="▽",1,BE54="●",9)</f>
        <v>1</v>
      </c>
      <c r="BF42" s="94" cm="1">
        <f t="array" ref="BF42">_xlfn.IFS(BF54="○",3,BF54="▽",1,BF54="●",9)</f>
        <v>1</v>
      </c>
      <c r="BG42" s="94" cm="1">
        <f t="array" ref="BG42">_xlfn.IFS(BG54="○",3,BG54="▽",1,BG54="●",9)</f>
        <v>3</v>
      </c>
      <c r="BH42" s="94" cm="1">
        <f t="array" ref="BH42">_xlfn.IFS(BH54="○",3,BH54="▽",1,BH54="●",9)</f>
        <v>3</v>
      </c>
      <c r="BI42" s="94" cm="1">
        <f t="array" ref="BI42">_xlfn.IFS(BI54="○",3,BI54="▽",1,BI54="●",9)</f>
        <v>1</v>
      </c>
      <c r="BJ42" s="94" cm="1">
        <f t="array" ref="BJ42">_xlfn.IFS(BJ54="○",3,BJ54="▽",1,BJ54="●",9)</f>
        <v>9</v>
      </c>
      <c r="BK42" s="94" cm="1">
        <f t="array" ref="BK42">_xlfn.IFS(BK54="○",3,BK54="▽",1,BK54="●",9)</f>
        <v>1</v>
      </c>
      <c r="BL42" s="94" cm="1">
        <f t="array" ref="BL42">_xlfn.IFS(BL54="○",3,BL54="▽",1,BL54="●",9)</f>
        <v>1</v>
      </c>
      <c r="BM42" s="94"/>
      <c r="BN42" s="94"/>
      <c r="BO42" s="93"/>
      <c r="BP42" s="94"/>
      <c r="BQ42" s="93">
        <f>($E42*BE42)</f>
        <v>10</v>
      </c>
      <c r="BR42" s="93">
        <f>($E42*BF42)</f>
        <v>10</v>
      </c>
      <c r="BS42" s="93">
        <f>($E42*BG42)</f>
        <v>30</v>
      </c>
      <c r="BT42" s="93">
        <f>($E42*BH42)</f>
        <v>30</v>
      </c>
      <c r="BU42" s="93">
        <f>($E42*BI42)</f>
        <v>10</v>
      </c>
      <c r="BV42" s="93">
        <f>($E42*BJ42)</f>
        <v>90</v>
      </c>
      <c r="BW42" s="93">
        <f>($E42*BK42)</f>
        <v>10</v>
      </c>
      <c r="BX42" s="93">
        <f>($E42*BL42)</f>
        <v>10</v>
      </c>
      <c r="BY42" s="93"/>
      <c r="BZ42" s="93"/>
      <c r="CA42" s="93"/>
      <c r="CB42" s="93"/>
      <c r="CC42" s="93"/>
      <c r="CD42" s="93">
        <f>($F42*BE42)</f>
        <v>10</v>
      </c>
      <c r="CE42" s="93">
        <f>($F42*BF42)</f>
        <v>10</v>
      </c>
      <c r="CF42" s="93">
        <f>($F42*BG42)</f>
        <v>30</v>
      </c>
      <c r="CG42" s="93">
        <f>($F42*BH42)</f>
        <v>30</v>
      </c>
      <c r="CH42" s="93">
        <f>($F42*BI42)</f>
        <v>10</v>
      </c>
      <c r="CI42" s="93">
        <f>($F42*BJ42)</f>
        <v>90</v>
      </c>
      <c r="CJ42" s="93">
        <f>($F42*BK42)</f>
        <v>10</v>
      </c>
      <c r="CK42" s="93">
        <f>($F42*BL42)</f>
        <v>10</v>
      </c>
      <c r="CL42" s="93"/>
      <c r="CM42" s="93"/>
      <c r="CN42" s="93"/>
      <c r="CO42" s="93"/>
      <c r="CP42" s="93">
        <f>($G42*BE42)</f>
        <v>5</v>
      </c>
      <c r="CQ42" s="93">
        <f>($G42*BF42)</f>
        <v>5</v>
      </c>
      <c r="CR42" s="93">
        <f>($G42*BG42)</f>
        <v>15</v>
      </c>
      <c r="CS42" s="93">
        <f>($G42*BH42)</f>
        <v>15</v>
      </c>
      <c r="CT42" s="93">
        <f>($G42*BI42)</f>
        <v>5</v>
      </c>
      <c r="CU42" s="93">
        <f>($G42*BJ42)</f>
        <v>45</v>
      </c>
      <c r="CV42" s="93">
        <f>($G42*BK42)</f>
        <v>5</v>
      </c>
      <c r="CW42" s="93">
        <f>($G42*BL42)</f>
        <v>5</v>
      </c>
      <c r="CX42" s="93"/>
      <c r="CY42" s="93"/>
      <c r="CZ42" s="93"/>
      <c r="DA42" s="93"/>
      <c r="DB42" s="93"/>
      <c r="DC42" s="93">
        <f>($H42*BE42)</f>
        <v>5</v>
      </c>
      <c r="DD42" s="93">
        <f>($H42*BF42)</f>
        <v>5</v>
      </c>
      <c r="DE42" s="93">
        <f>($H42*BG42)</f>
        <v>15</v>
      </c>
      <c r="DF42" s="93">
        <f>($H42*BH42)</f>
        <v>15</v>
      </c>
      <c r="DG42" s="93">
        <f>($H42*BI42)</f>
        <v>5</v>
      </c>
      <c r="DH42" s="93">
        <f>($H42*BJ42)</f>
        <v>45</v>
      </c>
      <c r="DI42" s="93">
        <f>($H42*BK42)</f>
        <v>5</v>
      </c>
      <c r="DJ42" s="93">
        <f>($H42*BL42)</f>
        <v>5</v>
      </c>
      <c r="DK42" s="93"/>
      <c r="DL42" s="93"/>
      <c r="DM42" s="93"/>
      <c r="DN42" s="93"/>
      <c r="DO42" s="93"/>
      <c r="DP42" s="97"/>
      <c r="DQ42" s="97"/>
      <c r="DR42" s="97"/>
      <c r="DS42" s="97"/>
      <c r="DT42" s="97"/>
      <c r="DU42" s="97"/>
      <c r="DV42" s="97"/>
      <c r="DW42" s="97"/>
    </row>
    <row r="43" spans="2:127" ht="30" customHeight="1" x14ac:dyDescent="0.25">
      <c r="B43" s="17">
        <v>7</v>
      </c>
      <c r="C43" s="63" t="s">
        <v>36</v>
      </c>
      <c r="D43" s="65"/>
      <c r="E43" s="12">
        <v>10</v>
      </c>
      <c r="F43" s="12">
        <v>5</v>
      </c>
      <c r="G43" s="12">
        <v>5</v>
      </c>
      <c r="H43" s="12">
        <v>10</v>
      </c>
      <c r="I43" s="20" t="s">
        <v>6</v>
      </c>
      <c r="J43" s="21"/>
      <c r="K43" s="21"/>
      <c r="L43" s="22"/>
      <c r="M43" s="20" t="s">
        <v>7</v>
      </c>
      <c r="N43" s="21"/>
      <c r="O43" s="21"/>
      <c r="P43" s="22"/>
      <c r="Q43" s="20" t="s">
        <v>7</v>
      </c>
      <c r="R43" s="21"/>
      <c r="S43" s="21"/>
      <c r="T43" s="22"/>
      <c r="U43" s="20" t="s">
        <v>3</v>
      </c>
      <c r="V43" s="21"/>
      <c r="W43" s="21"/>
      <c r="X43" s="22"/>
      <c r="Y43" s="20" t="s">
        <v>6</v>
      </c>
      <c r="Z43" s="21"/>
      <c r="AA43" s="21"/>
      <c r="AB43" s="22"/>
      <c r="AC43" s="20" t="s">
        <v>6</v>
      </c>
      <c r="AD43" s="21"/>
      <c r="AE43" s="21"/>
      <c r="AF43" s="22"/>
      <c r="AG43" s="20" t="s">
        <v>6</v>
      </c>
      <c r="AH43" s="21"/>
      <c r="AI43" s="21"/>
      <c r="AJ43" s="22"/>
      <c r="AK43" s="20" t="s">
        <v>3</v>
      </c>
      <c r="AL43" s="21"/>
      <c r="AM43" s="21"/>
      <c r="AN43" s="22"/>
      <c r="AO43" s="18">
        <v>5</v>
      </c>
      <c r="AP43" s="18">
        <v>4</v>
      </c>
      <c r="AQ43" s="18">
        <v>2</v>
      </c>
      <c r="AR43" s="100"/>
      <c r="AS43" s="5"/>
      <c r="AT43" s="5"/>
      <c r="AU43" s="5"/>
      <c r="AV43" s="5"/>
      <c r="AW43" s="5"/>
      <c r="AX43" s="17">
        <v>7</v>
      </c>
      <c r="BA43" s="93"/>
      <c r="BB43" s="93"/>
      <c r="BC43" s="94"/>
      <c r="BD43" s="94"/>
      <c r="BE43" s="94" cm="1">
        <f t="array" ref="BE43">_xlfn.IFS(BE55="○",3,BE55="▽",1,BE55="●",9)</f>
        <v>1</v>
      </c>
      <c r="BF43" s="94" cm="1">
        <f t="array" ref="BF43">_xlfn.IFS(BF55="○",3,BF55="▽",1,BF55="●",9)</f>
        <v>3</v>
      </c>
      <c r="BG43" s="94" cm="1">
        <f t="array" ref="BG43">_xlfn.IFS(BG55="○",3,BG55="▽",1,BG55="●",9)</f>
        <v>3</v>
      </c>
      <c r="BH43" s="94" cm="1">
        <f t="array" ref="BH43">_xlfn.IFS(BH55="○",3,BH55="▽",1,BH55="●",9)</f>
        <v>9</v>
      </c>
      <c r="BI43" s="94" cm="1">
        <f t="array" ref="BI43">_xlfn.IFS(BI55="○",3,BI55="▽",1,BI55="●",9)</f>
        <v>1</v>
      </c>
      <c r="BJ43" s="94" cm="1">
        <f t="array" ref="BJ43">_xlfn.IFS(BJ55="○",3,BJ55="▽",1,BJ55="●",9)</f>
        <v>1</v>
      </c>
      <c r="BK43" s="94" cm="1">
        <f t="array" ref="BK43">_xlfn.IFS(BK55="○",3,BK55="▽",1,BK55="●",9)</f>
        <v>1</v>
      </c>
      <c r="BL43" s="94" cm="1">
        <f t="array" ref="BL43">_xlfn.IFS(BL55="○",3,BL55="▽",1,BL55="●",9)</f>
        <v>9</v>
      </c>
      <c r="BM43" s="94"/>
      <c r="BN43" s="94"/>
      <c r="BO43" s="93"/>
      <c r="BP43" s="94"/>
      <c r="BQ43" s="93">
        <f>($E43*BE43)</f>
        <v>10</v>
      </c>
      <c r="BR43" s="93">
        <f>($E43*BF43)</f>
        <v>30</v>
      </c>
      <c r="BS43" s="93">
        <f>($E43*BG43)</f>
        <v>30</v>
      </c>
      <c r="BT43" s="93">
        <f>($E43*BH43)</f>
        <v>90</v>
      </c>
      <c r="BU43" s="93">
        <f>($E43*BI43)</f>
        <v>10</v>
      </c>
      <c r="BV43" s="93">
        <f>($E43*BJ43)</f>
        <v>10</v>
      </c>
      <c r="BW43" s="93">
        <f>($E43*BK43)</f>
        <v>10</v>
      </c>
      <c r="BX43" s="93">
        <f>($E43*BL43)</f>
        <v>90</v>
      </c>
      <c r="BY43" s="93"/>
      <c r="BZ43" s="93"/>
      <c r="CA43" s="93"/>
      <c r="CB43" s="93"/>
      <c r="CC43" s="93"/>
      <c r="CD43" s="93">
        <f>($F43*BE43)</f>
        <v>5</v>
      </c>
      <c r="CE43" s="93">
        <f>($F43*BF43)</f>
        <v>15</v>
      </c>
      <c r="CF43" s="93">
        <f>($F43*BG43)</f>
        <v>15</v>
      </c>
      <c r="CG43" s="93">
        <f>($F43*BH43)</f>
        <v>45</v>
      </c>
      <c r="CH43" s="93">
        <f>($F43*BI43)</f>
        <v>5</v>
      </c>
      <c r="CI43" s="93">
        <f>($F43*BJ43)</f>
        <v>5</v>
      </c>
      <c r="CJ43" s="93">
        <f>($F43*BK43)</f>
        <v>5</v>
      </c>
      <c r="CK43" s="93">
        <f>($F43*BL43)</f>
        <v>45</v>
      </c>
      <c r="CL43" s="93"/>
      <c r="CM43" s="93"/>
      <c r="CN43" s="93"/>
      <c r="CO43" s="93"/>
      <c r="CP43" s="93">
        <f>($G43*BE43)</f>
        <v>5</v>
      </c>
      <c r="CQ43" s="93">
        <f>($G43*BF43)</f>
        <v>15</v>
      </c>
      <c r="CR43" s="93">
        <f>($G43*BG43)</f>
        <v>15</v>
      </c>
      <c r="CS43" s="93">
        <f>($G43*BH43)</f>
        <v>45</v>
      </c>
      <c r="CT43" s="93">
        <f>($G43*BI43)</f>
        <v>5</v>
      </c>
      <c r="CU43" s="93">
        <f>($G43*BJ43)</f>
        <v>5</v>
      </c>
      <c r="CV43" s="93">
        <f>($G43*BK43)</f>
        <v>5</v>
      </c>
      <c r="CW43" s="93">
        <f>($G43*BL43)</f>
        <v>45</v>
      </c>
      <c r="CX43" s="93"/>
      <c r="CY43" s="93"/>
      <c r="CZ43" s="93"/>
      <c r="DA43" s="93"/>
      <c r="DB43" s="93"/>
      <c r="DC43" s="93">
        <f>($H43*BE43)</f>
        <v>10</v>
      </c>
      <c r="DD43" s="93">
        <f>($H43*BF43)</f>
        <v>30</v>
      </c>
      <c r="DE43" s="93">
        <f>($H43*BG43)</f>
        <v>30</v>
      </c>
      <c r="DF43" s="93">
        <f>($H43*BH43)</f>
        <v>90</v>
      </c>
      <c r="DG43" s="93">
        <f>($H43*BI43)</f>
        <v>10</v>
      </c>
      <c r="DH43" s="93">
        <f>($H43*BJ43)</f>
        <v>10</v>
      </c>
      <c r="DI43" s="93">
        <f>($H43*BK43)</f>
        <v>10</v>
      </c>
      <c r="DJ43" s="93">
        <f>($H43*BL43)</f>
        <v>90</v>
      </c>
      <c r="DK43" s="93"/>
      <c r="DL43" s="93"/>
      <c r="DM43" s="93"/>
      <c r="DN43" s="93"/>
      <c r="DO43" s="93"/>
      <c r="DP43" s="97"/>
      <c r="DQ43" s="97"/>
      <c r="DR43" s="97"/>
      <c r="DS43" s="97"/>
      <c r="DT43" s="97"/>
      <c r="DU43" s="97"/>
      <c r="DV43" s="97"/>
      <c r="DW43" s="97"/>
    </row>
    <row r="44" spans="2:127" ht="30" customHeight="1" x14ac:dyDescent="0.25">
      <c r="B44" s="17">
        <v>8</v>
      </c>
      <c r="C44" s="63" t="s">
        <v>37</v>
      </c>
      <c r="D44" s="65"/>
      <c r="E44" s="12">
        <v>5</v>
      </c>
      <c r="F44" s="12">
        <v>15</v>
      </c>
      <c r="G44" s="12">
        <v>5</v>
      </c>
      <c r="H44" s="12">
        <v>10</v>
      </c>
      <c r="I44" s="20" t="s">
        <v>3</v>
      </c>
      <c r="J44" s="21"/>
      <c r="K44" s="21"/>
      <c r="L44" s="22"/>
      <c r="M44" s="20" t="s">
        <v>3</v>
      </c>
      <c r="N44" s="21"/>
      <c r="O44" s="21"/>
      <c r="P44" s="22"/>
      <c r="Q44" s="20" t="s">
        <v>3</v>
      </c>
      <c r="R44" s="21"/>
      <c r="S44" s="21"/>
      <c r="T44" s="22"/>
      <c r="U44" s="20" t="s">
        <v>6</v>
      </c>
      <c r="V44" s="21"/>
      <c r="W44" s="21"/>
      <c r="X44" s="22"/>
      <c r="Y44" s="20" t="s">
        <v>3</v>
      </c>
      <c r="Z44" s="21"/>
      <c r="AA44" s="21"/>
      <c r="AB44" s="22"/>
      <c r="AC44" s="20" t="s">
        <v>6</v>
      </c>
      <c r="AD44" s="21"/>
      <c r="AE44" s="21"/>
      <c r="AF44" s="22"/>
      <c r="AG44" s="20" t="s">
        <v>6</v>
      </c>
      <c r="AH44" s="21"/>
      <c r="AI44" s="21"/>
      <c r="AJ44" s="22"/>
      <c r="AK44" s="20" t="s">
        <v>6</v>
      </c>
      <c r="AL44" s="21"/>
      <c r="AM44" s="21"/>
      <c r="AN44" s="22"/>
      <c r="AO44" s="18">
        <v>3</v>
      </c>
      <c r="AP44" s="18">
        <v>5</v>
      </c>
      <c r="AQ44" s="18">
        <v>4</v>
      </c>
      <c r="AR44" s="100"/>
      <c r="AS44" s="5"/>
      <c r="AT44" s="5"/>
      <c r="AU44" s="5"/>
      <c r="AV44" s="5"/>
      <c r="AW44" s="5"/>
      <c r="AX44" s="17">
        <v>8</v>
      </c>
      <c r="BA44" s="93"/>
      <c r="BB44" s="93"/>
      <c r="BC44" s="94"/>
      <c r="BD44" s="94"/>
      <c r="BE44" s="94" cm="1">
        <f t="array" ref="BE44">_xlfn.IFS(BE56="○",3,BE56="▽",1,BE56="●",9)</f>
        <v>9</v>
      </c>
      <c r="BF44" s="94" cm="1">
        <f t="array" ref="BF44">_xlfn.IFS(BF56="○",3,BF56="▽",1,BF56="●",9)</f>
        <v>9</v>
      </c>
      <c r="BG44" s="94" cm="1">
        <f t="array" ref="BG44">_xlfn.IFS(BG56="○",3,BG56="▽",1,BG56="●",9)</f>
        <v>9</v>
      </c>
      <c r="BH44" s="94" cm="1">
        <f t="array" ref="BH44">_xlfn.IFS(BH56="○",3,BH56="▽",1,BH56="●",9)</f>
        <v>1</v>
      </c>
      <c r="BI44" s="94" cm="1">
        <f t="array" ref="BI44">_xlfn.IFS(BI56="○",3,BI56="▽",1,BI56="●",9)</f>
        <v>9</v>
      </c>
      <c r="BJ44" s="94" cm="1">
        <f t="array" ref="BJ44">_xlfn.IFS(BJ56="○",3,BJ56="▽",1,BJ56="●",9)</f>
        <v>1</v>
      </c>
      <c r="BK44" s="94" cm="1">
        <f t="array" ref="BK44">_xlfn.IFS(BK56="○",3,BK56="▽",1,BK56="●",9)</f>
        <v>1</v>
      </c>
      <c r="BL44" s="94" cm="1">
        <f t="array" ref="BL44">_xlfn.IFS(BL56="○",3,BL56="▽",1,BL56="●",9)</f>
        <v>1</v>
      </c>
      <c r="BM44" s="94"/>
      <c r="BN44" s="94"/>
      <c r="BO44" s="93"/>
      <c r="BP44" s="94"/>
      <c r="BQ44" s="93">
        <f>($E44*BE44)</f>
        <v>45</v>
      </c>
      <c r="BR44" s="93">
        <f>($E44*BF44)</f>
        <v>45</v>
      </c>
      <c r="BS44" s="93">
        <f>($E44*BG44)</f>
        <v>45</v>
      </c>
      <c r="BT44" s="93">
        <f>($E44*BH44)</f>
        <v>5</v>
      </c>
      <c r="BU44" s="93">
        <f>($E44*BI44)</f>
        <v>45</v>
      </c>
      <c r="BV44" s="93">
        <f>($E44*BJ44)</f>
        <v>5</v>
      </c>
      <c r="BW44" s="93">
        <f>($E44*BK44)</f>
        <v>5</v>
      </c>
      <c r="BX44" s="93">
        <f>($E44*BL44)</f>
        <v>5</v>
      </c>
      <c r="BY44" s="93"/>
      <c r="BZ44" s="93"/>
      <c r="CA44" s="93"/>
      <c r="CB44" s="93"/>
      <c r="CC44" s="93"/>
      <c r="CD44" s="93">
        <f>($F44*BE44)</f>
        <v>135</v>
      </c>
      <c r="CE44" s="93">
        <f>($F44*BF44)</f>
        <v>135</v>
      </c>
      <c r="CF44" s="93">
        <f>($F44*BG44)</f>
        <v>135</v>
      </c>
      <c r="CG44" s="93">
        <f>($F44*BH44)</f>
        <v>15</v>
      </c>
      <c r="CH44" s="93">
        <f>($F44*BI44)</f>
        <v>135</v>
      </c>
      <c r="CI44" s="93">
        <f>($F44*BJ44)</f>
        <v>15</v>
      </c>
      <c r="CJ44" s="93">
        <f>($F44*BK44)</f>
        <v>15</v>
      </c>
      <c r="CK44" s="93">
        <f>($F44*BL44)</f>
        <v>15</v>
      </c>
      <c r="CL44" s="93"/>
      <c r="CM44" s="93"/>
      <c r="CN44" s="93"/>
      <c r="CO44" s="93"/>
      <c r="CP44" s="93">
        <f>($G44*BE44)</f>
        <v>45</v>
      </c>
      <c r="CQ44" s="93">
        <f>($G44*BF44)</f>
        <v>45</v>
      </c>
      <c r="CR44" s="93">
        <f>($G44*BG44)</f>
        <v>45</v>
      </c>
      <c r="CS44" s="93">
        <f>($G44*BH44)</f>
        <v>5</v>
      </c>
      <c r="CT44" s="93">
        <f>($G44*BI44)</f>
        <v>45</v>
      </c>
      <c r="CU44" s="93">
        <f>($G44*BJ44)</f>
        <v>5</v>
      </c>
      <c r="CV44" s="93">
        <f>($G44*BK44)</f>
        <v>5</v>
      </c>
      <c r="CW44" s="93">
        <f>($G44*BL44)</f>
        <v>5</v>
      </c>
      <c r="CX44" s="93"/>
      <c r="CY44" s="93"/>
      <c r="CZ44" s="93"/>
      <c r="DA44" s="93"/>
      <c r="DB44" s="93"/>
      <c r="DC44" s="93">
        <f>($H44*BE44)</f>
        <v>90</v>
      </c>
      <c r="DD44" s="93">
        <f>($H44*BF44)</f>
        <v>90</v>
      </c>
      <c r="DE44" s="93">
        <f>($H44*BG44)</f>
        <v>90</v>
      </c>
      <c r="DF44" s="93">
        <f>($H44*BH44)</f>
        <v>10</v>
      </c>
      <c r="DG44" s="93">
        <f>($H44*BI44)</f>
        <v>90</v>
      </c>
      <c r="DH44" s="93">
        <f>($H44*BJ44)</f>
        <v>10</v>
      </c>
      <c r="DI44" s="93">
        <f>($H44*BK44)</f>
        <v>10</v>
      </c>
      <c r="DJ44" s="93">
        <f>($H44*BL44)</f>
        <v>10</v>
      </c>
      <c r="DK44" s="93"/>
      <c r="DL44" s="93"/>
      <c r="DM44" s="93"/>
      <c r="DN44" s="93"/>
      <c r="DO44" s="93"/>
      <c r="DP44" s="97"/>
      <c r="DQ44" s="97"/>
      <c r="DR44" s="97"/>
      <c r="DS44" s="97"/>
      <c r="DT44" s="97"/>
      <c r="DU44" s="97"/>
      <c r="DV44" s="97"/>
      <c r="DW44" s="97"/>
    </row>
    <row r="45" spans="2:127" ht="30" customHeight="1" x14ac:dyDescent="0.25">
      <c r="B45" s="17">
        <v>9</v>
      </c>
      <c r="C45" s="63" t="s">
        <v>31</v>
      </c>
      <c r="D45" s="65"/>
      <c r="E45" s="12">
        <v>5</v>
      </c>
      <c r="F45" s="12">
        <v>15</v>
      </c>
      <c r="G45" s="12">
        <v>10</v>
      </c>
      <c r="H45" s="12">
        <v>10</v>
      </c>
      <c r="I45" s="20" t="s">
        <v>7</v>
      </c>
      <c r="J45" s="21"/>
      <c r="K45" s="21"/>
      <c r="L45" s="22"/>
      <c r="M45" s="20" t="s">
        <v>6</v>
      </c>
      <c r="N45" s="21"/>
      <c r="O45" s="21"/>
      <c r="P45" s="22"/>
      <c r="Q45" s="20" t="s">
        <v>3</v>
      </c>
      <c r="R45" s="21"/>
      <c r="S45" s="21"/>
      <c r="T45" s="22"/>
      <c r="U45" s="20" t="s">
        <v>7</v>
      </c>
      <c r="V45" s="21"/>
      <c r="W45" s="21"/>
      <c r="X45" s="22"/>
      <c r="Y45" s="20" t="s">
        <v>6</v>
      </c>
      <c r="Z45" s="21"/>
      <c r="AA45" s="21"/>
      <c r="AB45" s="22"/>
      <c r="AC45" s="20" t="s">
        <v>3</v>
      </c>
      <c r="AD45" s="21"/>
      <c r="AE45" s="21"/>
      <c r="AF45" s="22"/>
      <c r="AG45" s="20" t="s">
        <v>6</v>
      </c>
      <c r="AH45" s="21"/>
      <c r="AI45" s="21"/>
      <c r="AJ45" s="22"/>
      <c r="AK45" s="20" t="s">
        <v>6</v>
      </c>
      <c r="AL45" s="21"/>
      <c r="AM45" s="21"/>
      <c r="AN45" s="22"/>
      <c r="AO45" s="18">
        <v>5</v>
      </c>
      <c r="AP45" s="18">
        <v>4</v>
      </c>
      <c r="AQ45" s="18">
        <v>3</v>
      </c>
      <c r="AR45" s="102"/>
      <c r="AS45" s="103"/>
      <c r="AT45" s="103"/>
      <c r="AU45" s="103"/>
      <c r="AV45" s="103"/>
      <c r="AW45" s="103"/>
      <c r="AX45" s="17">
        <v>9</v>
      </c>
      <c r="BA45" s="93"/>
      <c r="BB45" s="93"/>
      <c r="BC45" s="94"/>
      <c r="BD45" s="94"/>
      <c r="BE45" s="94" cm="1">
        <f t="array" ref="BE45">_xlfn.IFS(BE57="○",3,BE57="▽",1,BE57="●",9)</f>
        <v>3</v>
      </c>
      <c r="BF45" s="94" cm="1">
        <f t="array" ref="BF45">_xlfn.IFS(BF57="○",3,BF57="▽",1,BF57="●",9)</f>
        <v>1</v>
      </c>
      <c r="BG45" s="94" cm="1">
        <f t="array" ref="BG45">_xlfn.IFS(BG57="○",3,BG57="▽",1,BG57="●",9)</f>
        <v>9</v>
      </c>
      <c r="BH45" s="94" cm="1">
        <f t="array" ref="BH45">_xlfn.IFS(BH57="○",3,BH57="▽",1,BH57="●",9)</f>
        <v>3</v>
      </c>
      <c r="BI45" s="94" cm="1">
        <f t="array" ref="BI45">_xlfn.IFS(BI57="○",3,BI57="▽",1,BI57="●",9)</f>
        <v>1</v>
      </c>
      <c r="BJ45" s="94" cm="1">
        <f t="array" ref="BJ45">_xlfn.IFS(BJ57="○",3,BJ57="▽",1,BJ57="●",9)</f>
        <v>9</v>
      </c>
      <c r="BK45" s="94" cm="1">
        <f t="array" ref="BK45">_xlfn.IFS(BK57="○",3,BK57="▽",1,BK57="●",9)</f>
        <v>1</v>
      </c>
      <c r="BL45" s="94" cm="1">
        <f t="array" ref="BL45">_xlfn.IFS(BL57="○",3,BL57="▽",1,BL57="●",9)</f>
        <v>1</v>
      </c>
      <c r="BM45" s="94"/>
      <c r="BN45" s="94"/>
      <c r="BO45" s="94"/>
      <c r="BP45" s="94"/>
      <c r="BQ45" s="93">
        <f>($E45*BE45)</f>
        <v>15</v>
      </c>
      <c r="BR45" s="93">
        <f>($E45*BF45)</f>
        <v>5</v>
      </c>
      <c r="BS45" s="93">
        <f>($E45*BG45)</f>
        <v>45</v>
      </c>
      <c r="BT45" s="93">
        <f>($E45*BH45)</f>
        <v>15</v>
      </c>
      <c r="BU45" s="93">
        <f>($E45*BI45)</f>
        <v>5</v>
      </c>
      <c r="BV45" s="93">
        <f>($E45*BJ45)</f>
        <v>45</v>
      </c>
      <c r="BW45" s="93">
        <f>($E45*BK45)</f>
        <v>5</v>
      </c>
      <c r="BX45" s="93">
        <f>($E45*BL45)</f>
        <v>5</v>
      </c>
      <c r="BY45" s="93"/>
      <c r="BZ45" s="93"/>
      <c r="CA45" s="93"/>
      <c r="CB45" s="93"/>
      <c r="CC45" s="93"/>
      <c r="CD45" s="93">
        <f>($F45*BE45)</f>
        <v>45</v>
      </c>
      <c r="CE45" s="93">
        <f>($F45*BF45)</f>
        <v>15</v>
      </c>
      <c r="CF45" s="93">
        <f>($F45*BG45)</f>
        <v>135</v>
      </c>
      <c r="CG45" s="93">
        <f>($F45*BH45)</f>
        <v>45</v>
      </c>
      <c r="CH45" s="93">
        <f>($F45*BI45)</f>
        <v>15</v>
      </c>
      <c r="CI45" s="93">
        <f>($F45*BJ45)</f>
        <v>135</v>
      </c>
      <c r="CJ45" s="93">
        <f>($F45*BK45)</f>
        <v>15</v>
      </c>
      <c r="CK45" s="93">
        <f>($F45*BL45)</f>
        <v>15</v>
      </c>
      <c r="CL45" s="93"/>
      <c r="CM45" s="93"/>
      <c r="CN45" s="93"/>
      <c r="CO45" s="93"/>
      <c r="CP45" s="93">
        <f>($G45*BE45)</f>
        <v>30</v>
      </c>
      <c r="CQ45" s="93">
        <f>($G45*BF45)</f>
        <v>10</v>
      </c>
      <c r="CR45" s="93">
        <f>($G45*BG45)</f>
        <v>90</v>
      </c>
      <c r="CS45" s="93">
        <f>($G45*BH45)</f>
        <v>30</v>
      </c>
      <c r="CT45" s="93">
        <f>($G45*BI45)</f>
        <v>10</v>
      </c>
      <c r="CU45" s="93">
        <f>($G45*BJ45)</f>
        <v>90</v>
      </c>
      <c r="CV45" s="93">
        <f>($G45*BK45)</f>
        <v>10</v>
      </c>
      <c r="CW45" s="93">
        <f>($G45*BL45)</f>
        <v>10</v>
      </c>
      <c r="CX45" s="93"/>
      <c r="CY45" s="93"/>
      <c r="CZ45" s="93"/>
      <c r="DA45" s="93"/>
      <c r="DB45" s="93"/>
      <c r="DC45" s="93">
        <f>($H45*BE45)</f>
        <v>30</v>
      </c>
      <c r="DD45" s="93">
        <f>($H45*BF45)</f>
        <v>10</v>
      </c>
      <c r="DE45" s="93">
        <f>($H45*BG45)</f>
        <v>90</v>
      </c>
      <c r="DF45" s="93">
        <f>($H45*BH45)</f>
        <v>30</v>
      </c>
      <c r="DG45" s="93">
        <f>($H45*BI45)</f>
        <v>10</v>
      </c>
      <c r="DH45" s="93">
        <f>($H45*BJ45)</f>
        <v>90</v>
      </c>
      <c r="DI45" s="93">
        <f>($H45*BK45)</f>
        <v>10</v>
      </c>
      <c r="DJ45" s="93">
        <f>($H45*BL45)</f>
        <v>10</v>
      </c>
      <c r="DK45" s="93"/>
      <c r="DL45" s="93"/>
      <c r="DM45" s="93"/>
      <c r="DN45" s="93"/>
      <c r="DO45" s="93"/>
      <c r="DP45" s="97"/>
      <c r="DQ45" s="97"/>
      <c r="DR45" s="97"/>
      <c r="DS45" s="97"/>
      <c r="DT45" s="97"/>
      <c r="DU45" s="97"/>
      <c r="DV45" s="97"/>
      <c r="DW45" s="97"/>
    </row>
    <row r="46" spans="2:127" ht="57" customHeight="1" x14ac:dyDescent="0.25">
      <c r="G46" s="82"/>
      <c r="H46" s="84" t="s">
        <v>57</v>
      </c>
      <c r="I46" s="88" t="s">
        <v>62</v>
      </c>
      <c r="J46" s="89"/>
      <c r="K46" s="89"/>
      <c r="L46" s="89"/>
      <c r="M46" s="88" t="s">
        <v>64</v>
      </c>
      <c r="N46" s="89"/>
      <c r="O46" s="89"/>
      <c r="P46" s="89"/>
      <c r="Q46" s="88" t="s">
        <v>66</v>
      </c>
      <c r="R46" s="89"/>
      <c r="S46" s="89"/>
      <c r="T46" s="90"/>
      <c r="U46" s="88" t="s">
        <v>68</v>
      </c>
      <c r="V46" s="89"/>
      <c r="W46" s="89"/>
      <c r="X46" s="89"/>
      <c r="Y46" s="88" t="s">
        <v>70</v>
      </c>
      <c r="Z46" s="89"/>
      <c r="AA46" s="89"/>
      <c r="AB46" s="89"/>
      <c r="AC46" s="88" t="s">
        <v>72</v>
      </c>
      <c r="AD46" s="89"/>
      <c r="AE46" s="89"/>
      <c r="AF46" s="89"/>
      <c r="AG46" s="88" t="s">
        <v>74</v>
      </c>
      <c r="AH46" s="89"/>
      <c r="AI46" s="89"/>
      <c r="AJ46" s="89"/>
      <c r="AK46" s="88" t="s">
        <v>76</v>
      </c>
      <c r="AL46" s="89"/>
      <c r="AM46" s="89"/>
      <c r="AN46" s="90"/>
      <c r="BA46" s="93"/>
      <c r="BB46" s="93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4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7"/>
      <c r="DQ46" s="97"/>
      <c r="DR46" s="97"/>
      <c r="DS46" s="97"/>
      <c r="DT46" s="97"/>
      <c r="DU46" s="97"/>
      <c r="DV46" s="97"/>
      <c r="DW46" s="97"/>
    </row>
    <row r="47" spans="2:127" ht="57" customHeight="1" x14ac:dyDescent="0.25">
      <c r="G47" s="81"/>
      <c r="H47" s="83" t="s">
        <v>12</v>
      </c>
      <c r="I47" s="88" t="s">
        <v>61</v>
      </c>
      <c r="J47" s="89"/>
      <c r="K47" s="89"/>
      <c r="L47" s="89"/>
      <c r="M47" s="88" t="s">
        <v>63</v>
      </c>
      <c r="N47" s="89"/>
      <c r="O47" s="89"/>
      <c r="P47" s="89"/>
      <c r="Q47" s="88" t="s">
        <v>65</v>
      </c>
      <c r="R47" s="89"/>
      <c r="S47" s="89"/>
      <c r="T47" s="90"/>
      <c r="U47" s="88" t="s">
        <v>67</v>
      </c>
      <c r="V47" s="89"/>
      <c r="W47" s="89"/>
      <c r="X47" s="89"/>
      <c r="Y47" s="88" t="s">
        <v>69</v>
      </c>
      <c r="Z47" s="89"/>
      <c r="AA47" s="89"/>
      <c r="AB47" s="89"/>
      <c r="AC47" s="88" t="s">
        <v>71</v>
      </c>
      <c r="AD47" s="89"/>
      <c r="AE47" s="89"/>
      <c r="AF47" s="89"/>
      <c r="AG47" s="88" t="s">
        <v>73</v>
      </c>
      <c r="AH47" s="89"/>
      <c r="AI47" s="89"/>
      <c r="AJ47" s="89"/>
      <c r="AK47" s="88" t="s">
        <v>75</v>
      </c>
      <c r="AL47" s="89"/>
      <c r="AM47" s="89"/>
      <c r="AN47" s="90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3" t="s">
        <v>55</v>
      </c>
      <c r="BQ47" s="93">
        <f>SUM(BQ37:BQ45)</f>
        <v>240</v>
      </c>
      <c r="BR47" s="93">
        <f>SUM(BR37:BR45)</f>
        <v>450</v>
      </c>
      <c r="BS47" s="93">
        <f t="shared" ref="BS47:BX47" si="1">SUM(BS37:BS45)</f>
        <v>490</v>
      </c>
      <c r="BT47" s="93">
        <f t="shared" si="1"/>
        <v>300</v>
      </c>
      <c r="BU47" s="93">
        <f t="shared" si="1"/>
        <v>310</v>
      </c>
      <c r="BV47" s="93">
        <f t="shared" si="1"/>
        <v>250</v>
      </c>
      <c r="BW47" s="93">
        <f t="shared" si="1"/>
        <v>300</v>
      </c>
      <c r="BX47" s="93">
        <f t="shared" si="1"/>
        <v>410</v>
      </c>
      <c r="BY47" s="93"/>
      <c r="BZ47" s="93"/>
      <c r="CA47" s="93"/>
      <c r="CB47" s="93"/>
      <c r="CC47" s="93"/>
      <c r="CD47" s="93">
        <f>SUM(CD37:CD45)</f>
        <v>330</v>
      </c>
      <c r="CE47" s="93">
        <f t="shared" ref="CE47" si="2">SUM(CE37:CE45)</f>
        <v>480</v>
      </c>
      <c r="CF47" s="93">
        <f t="shared" ref="CF47" si="3">SUM(CF37:CF45)</f>
        <v>600</v>
      </c>
      <c r="CG47" s="93">
        <f t="shared" ref="CG47" si="4">SUM(CG37:CG45)</f>
        <v>240</v>
      </c>
      <c r="CH47" s="93">
        <f t="shared" ref="CH47" si="5">SUM(CH37:CH45)</f>
        <v>320</v>
      </c>
      <c r="CI47" s="93">
        <f t="shared" ref="CI47" si="6">SUM(CI37:CI45)</f>
        <v>310</v>
      </c>
      <c r="CJ47" s="93">
        <f t="shared" ref="CJ47" si="7">SUM(CJ37:CJ45)</f>
        <v>220</v>
      </c>
      <c r="CK47" s="93">
        <f t="shared" ref="CK47" si="8">SUM(CK37:CK45)</f>
        <v>300</v>
      </c>
      <c r="CL47" s="93"/>
      <c r="CM47" s="93"/>
      <c r="CN47" s="93"/>
      <c r="CO47" s="93"/>
      <c r="CP47" s="93">
        <f>SUM(CP37:CP45)</f>
        <v>250</v>
      </c>
      <c r="CQ47" s="93">
        <f t="shared" ref="CQ47" si="9">SUM(CQ37:CQ45)</f>
        <v>480</v>
      </c>
      <c r="CR47" s="93">
        <f t="shared" ref="CR47" si="10">SUM(CR37:CR45)</f>
        <v>540</v>
      </c>
      <c r="CS47" s="93">
        <f t="shared" ref="CS47" si="11">SUM(CS37:CS45)</f>
        <v>240</v>
      </c>
      <c r="CT47" s="93">
        <f t="shared" ref="CT47" si="12">SUM(CT37:CT45)</f>
        <v>300</v>
      </c>
      <c r="CU47" s="93">
        <f t="shared" ref="CU47" si="13">SUM(CU37:CU45)</f>
        <v>240</v>
      </c>
      <c r="CV47" s="93">
        <f t="shared" ref="CV47" si="14">SUM(CV37:CV45)</f>
        <v>340</v>
      </c>
      <c r="CW47" s="93">
        <f t="shared" ref="CW47" si="15">SUM(CW37:CW45)</f>
        <v>430</v>
      </c>
      <c r="CX47" s="93"/>
      <c r="CY47" s="93"/>
      <c r="CZ47" s="93"/>
      <c r="DA47" s="93"/>
      <c r="DB47" s="93"/>
      <c r="DC47" s="93">
        <f>SUM(DC37:DC45)</f>
        <v>290</v>
      </c>
      <c r="DD47" s="93">
        <f t="shared" ref="DD47" si="16">SUM(DD37:DD45)</f>
        <v>490</v>
      </c>
      <c r="DE47" s="93">
        <f t="shared" ref="DE47" si="17">SUM(DE37:DE45)</f>
        <v>560</v>
      </c>
      <c r="DF47" s="93">
        <f t="shared" ref="DF47" si="18">SUM(DF37:DF45)</f>
        <v>280</v>
      </c>
      <c r="DG47" s="93">
        <f t="shared" ref="DG47" si="19">SUM(DG37:DG45)</f>
        <v>320</v>
      </c>
      <c r="DH47" s="93">
        <f t="shared" ref="DH47" si="20">SUM(DH37:DH45)</f>
        <v>240</v>
      </c>
      <c r="DI47" s="93">
        <f t="shared" ref="DI47" si="21">SUM(DI37:DI45)</f>
        <v>260</v>
      </c>
      <c r="DJ47" s="93">
        <f t="shared" ref="DJ47" si="22">SUM(DJ37:DJ45)</f>
        <v>380</v>
      </c>
      <c r="DK47" s="93"/>
      <c r="DL47" s="93"/>
      <c r="DM47" s="93"/>
      <c r="DN47" s="93"/>
      <c r="DO47" s="93"/>
      <c r="DP47" s="97"/>
      <c r="DQ47" s="97"/>
      <c r="DR47" s="97"/>
      <c r="DS47" s="97"/>
      <c r="DT47" s="97"/>
      <c r="DU47" s="97"/>
      <c r="DV47" s="97"/>
      <c r="DW47" s="97"/>
    </row>
    <row r="48" spans="2:127" ht="30" customHeight="1" x14ac:dyDescent="0.25">
      <c r="E48" s="80"/>
      <c r="F48" s="85" t="s">
        <v>60</v>
      </c>
      <c r="G48" s="78" t="s">
        <v>59</v>
      </c>
      <c r="H48" s="79"/>
      <c r="I48" s="55">
        <f>BQ$47*BQ$35</f>
        <v>0.21621621621621623</v>
      </c>
      <c r="J48" s="56"/>
      <c r="K48" s="56"/>
      <c r="L48" s="57"/>
      <c r="M48" s="55">
        <f>BR47*BR35</f>
        <v>0.23684210526315788</v>
      </c>
      <c r="N48" s="56"/>
      <c r="O48" s="56"/>
      <c r="P48" s="57"/>
      <c r="Q48" s="55">
        <f>BS47*BS35</f>
        <v>0.22374429223744291</v>
      </c>
      <c r="R48" s="56"/>
      <c r="S48" s="56"/>
      <c r="T48" s="57"/>
      <c r="U48" s="55">
        <f>BT47*BT35</f>
        <v>0.28301886792452829</v>
      </c>
      <c r="V48" s="56"/>
      <c r="W48" s="56"/>
      <c r="X48" s="57"/>
      <c r="Y48" s="55">
        <f>BU47*BU35</f>
        <v>0.248</v>
      </c>
      <c r="Z48" s="56"/>
      <c r="AA48" s="56"/>
      <c r="AB48" s="57"/>
      <c r="AC48" s="55">
        <f>BV47*BV35</f>
        <v>0.24038461538461539</v>
      </c>
      <c r="AD48" s="56"/>
      <c r="AE48" s="56"/>
      <c r="AF48" s="57"/>
      <c r="AG48" s="55">
        <f>BW47*BW35</f>
        <v>0.26785714285714285</v>
      </c>
      <c r="AH48" s="56"/>
      <c r="AI48" s="56"/>
      <c r="AJ48" s="57"/>
      <c r="AK48" s="55">
        <f>BX47*BX35</f>
        <v>0.26973684210526316</v>
      </c>
      <c r="AL48" s="56"/>
      <c r="AM48" s="56"/>
      <c r="AN48" s="57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/>
      <c r="BZ48" s="93"/>
      <c r="CA48" s="93"/>
      <c r="CB48" s="93"/>
      <c r="CC48" s="93"/>
      <c r="CD48" s="93"/>
      <c r="CE48" s="93"/>
      <c r="CF48" s="93"/>
      <c r="CG48" s="93"/>
      <c r="CH48" s="93"/>
      <c r="CI48" s="93"/>
      <c r="CJ48" s="93"/>
      <c r="CK48" s="93"/>
      <c r="CL48" s="93"/>
      <c r="CM48" s="93"/>
      <c r="CN48" s="93"/>
      <c r="CO48" s="93"/>
      <c r="CP48" s="93"/>
      <c r="CQ48" s="93"/>
      <c r="CR48" s="93"/>
      <c r="CS48" s="93"/>
      <c r="CT48" s="93"/>
      <c r="CU48" s="93"/>
      <c r="CV48" s="93"/>
      <c r="CW48" s="93"/>
      <c r="CX48" s="93"/>
      <c r="CY48" s="93"/>
      <c r="CZ48" s="93"/>
      <c r="DA48" s="93"/>
      <c r="DB48" s="93"/>
      <c r="DC48" s="93"/>
      <c r="DD48" s="93"/>
      <c r="DE48" s="93"/>
      <c r="DF48" s="93"/>
      <c r="DG48" s="93"/>
      <c r="DH48" s="93"/>
      <c r="DI48" s="93"/>
      <c r="DJ48" s="93"/>
      <c r="DK48" s="93"/>
      <c r="DL48" s="93"/>
      <c r="DM48" s="93"/>
      <c r="DN48" s="93"/>
      <c r="DO48" s="93"/>
      <c r="DP48" s="97"/>
      <c r="DQ48" s="97"/>
      <c r="DR48" s="97"/>
      <c r="DS48" s="97"/>
      <c r="DT48" s="97"/>
      <c r="DU48" s="97"/>
      <c r="DV48" s="97"/>
      <c r="DW48" s="97"/>
    </row>
    <row r="49" spans="1:149" ht="30" customHeight="1" x14ac:dyDescent="0.25">
      <c r="B49" s="11"/>
      <c r="C49" s="11"/>
      <c r="D49" s="11"/>
      <c r="E49" s="80"/>
      <c r="F49" s="86"/>
      <c r="G49" s="76" t="s">
        <v>58</v>
      </c>
      <c r="H49" s="77"/>
      <c r="I49" s="55">
        <f>CD47*BQ35</f>
        <v>0.29729729729729731</v>
      </c>
      <c r="J49" s="56"/>
      <c r="K49" s="56"/>
      <c r="L49" s="57"/>
      <c r="M49" s="55">
        <f>CE47*BR35</f>
        <v>0.25263157894736843</v>
      </c>
      <c r="N49" s="56"/>
      <c r="O49" s="56"/>
      <c r="P49" s="57"/>
      <c r="Q49" s="55">
        <f>CF47*BS35</f>
        <v>0.27397260273972601</v>
      </c>
      <c r="R49" s="56"/>
      <c r="S49" s="56"/>
      <c r="T49" s="57"/>
      <c r="U49" s="55">
        <f>CG47*BT35</f>
        <v>0.22641509433962265</v>
      </c>
      <c r="V49" s="56"/>
      <c r="W49" s="56"/>
      <c r="X49" s="57"/>
      <c r="Y49" s="55">
        <f>CH47*BU35</f>
        <v>0.25600000000000001</v>
      </c>
      <c r="Z49" s="56"/>
      <c r="AA49" s="56"/>
      <c r="AB49" s="57"/>
      <c r="AC49" s="55">
        <f>CI47*BV35</f>
        <v>0.29807692307692307</v>
      </c>
      <c r="AD49" s="56"/>
      <c r="AE49" s="56"/>
      <c r="AF49" s="57"/>
      <c r="AG49" s="55">
        <f>CJ47*BW35</f>
        <v>0.19642857142857142</v>
      </c>
      <c r="AH49" s="56"/>
      <c r="AI49" s="56"/>
      <c r="AJ49" s="57"/>
      <c r="AK49" s="55">
        <f>CK47*BX35</f>
        <v>0.19736842105263158</v>
      </c>
      <c r="AL49" s="56"/>
      <c r="AM49" s="56"/>
      <c r="AN49" s="57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BA49" s="93"/>
      <c r="BB49" s="93"/>
      <c r="BC49" s="93"/>
      <c r="BD49" s="93"/>
      <c r="BE49" s="96" t="s">
        <v>7</v>
      </c>
      <c r="BF49" s="96" t="s">
        <v>3</v>
      </c>
      <c r="BG49" s="96" t="s">
        <v>3</v>
      </c>
      <c r="BH49" s="96" t="s">
        <v>6</v>
      </c>
      <c r="BI49" s="96" t="s">
        <v>7</v>
      </c>
      <c r="BJ49" s="96" t="s">
        <v>6</v>
      </c>
      <c r="BK49" s="96" t="s">
        <v>6</v>
      </c>
      <c r="BL49" s="96" t="s">
        <v>7</v>
      </c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  <c r="CD49" s="93"/>
      <c r="CE49" s="93"/>
      <c r="CF49" s="93"/>
      <c r="CG49" s="93"/>
      <c r="CH49" s="93"/>
      <c r="CI49" s="93"/>
      <c r="CJ49" s="93"/>
      <c r="CK49" s="93"/>
      <c r="CL49" s="93"/>
      <c r="CM49" s="93"/>
      <c r="CN49" s="93"/>
      <c r="CO49" s="93"/>
      <c r="CP49" s="93"/>
      <c r="CQ49" s="93"/>
      <c r="CR49" s="93"/>
      <c r="CS49" s="93"/>
      <c r="CT49" s="93"/>
      <c r="CU49" s="93"/>
      <c r="CV49" s="93"/>
      <c r="CW49" s="93"/>
      <c r="CX49" s="93"/>
      <c r="CY49" s="93"/>
      <c r="CZ49" s="93"/>
      <c r="DA49" s="93"/>
      <c r="DB49" s="93"/>
      <c r="DC49" s="93"/>
      <c r="DD49" s="93"/>
      <c r="DE49" s="93"/>
      <c r="DF49" s="93"/>
      <c r="DG49" s="93"/>
      <c r="DH49" s="93"/>
      <c r="DI49" s="93"/>
      <c r="DJ49" s="93"/>
      <c r="DK49" s="93"/>
      <c r="DL49" s="93"/>
      <c r="DM49" s="93"/>
      <c r="DN49" s="93"/>
      <c r="DO49" s="93"/>
      <c r="DP49" s="97"/>
      <c r="DQ49" s="97"/>
      <c r="DR49" s="97"/>
      <c r="DS49" s="97"/>
      <c r="DT49" s="97"/>
      <c r="DU49" s="97"/>
      <c r="DV49" s="97"/>
      <c r="DW49" s="97"/>
    </row>
    <row r="50" spans="1:149" s="11" customFormat="1" ht="30" customHeight="1" x14ac:dyDescent="0.25">
      <c r="B50" s="5"/>
      <c r="C50" s="1"/>
      <c r="D50" s="1"/>
      <c r="E50" s="80"/>
      <c r="F50" s="86"/>
      <c r="G50" s="76" t="s">
        <v>41</v>
      </c>
      <c r="H50" s="77"/>
      <c r="I50" s="55">
        <f>CP47*BQ35</f>
        <v>0.22522522522522523</v>
      </c>
      <c r="J50" s="56"/>
      <c r="K50" s="56"/>
      <c r="L50" s="57"/>
      <c r="M50" s="55">
        <f>CQ47*BR35</f>
        <v>0.25263157894736843</v>
      </c>
      <c r="N50" s="56"/>
      <c r="O50" s="56"/>
      <c r="P50" s="57"/>
      <c r="Q50" s="55">
        <f>CR47*BS35</f>
        <v>0.24657534246575341</v>
      </c>
      <c r="R50" s="56"/>
      <c r="S50" s="56"/>
      <c r="T50" s="57"/>
      <c r="U50" s="55">
        <f>CS47*BT35</f>
        <v>0.22641509433962265</v>
      </c>
      <c r="V50" s="56"/>
      <c r="W50" s="56"/>
      <c r="X50" s="57"/>
      <c r="Y50" s="55">
        <f>CT47*BU35</f>
        <v>0.24000000000000002</v>
      </c>
      <c r="Z50" s="56"/>
      <c r="AA50" s="56"/>
      <c r="AB50" s="57"/>
      <c r="AC50" s="55">
        <f>CU47*BV35</f>
        <v>0.23076923076923078</v>
      </c>
      <c r="AD50" s="56"/>
      <c r="AE50" s="56"/>
      <c r="AF50" s="57"/>
      <c r="AG50" s="55">
        <f>CV47*BW35</f>
        <v>0.30357142857142855</v>
      </c>
      <c r="AH50" s="56"/>
      <c r="AI50" s="56"/>
      <c r="AJ50" s="57"/>
      <c r="AK50" s="55">
        <f>CW47*BX35</f>
        <v>0.28289473684210525</v>
      </c>
      <c r="AL50" s="56"/>
      <c r="AM50" s="56"/>
      <c r="AN50" s="57"/>
      <c r="AO50" s="1"/>
      <c r="AP50" s="1"/>
      <c r="AQ50" s="1"/>
      <c r="AR50" s="1"/>
      <c r="AS50" s="1"/>
      <c r="AT50" s="1"/>
      <c r="AU50" s="1"/>
      <c r="AV50" s="1"/>
      <c r="AW50" s="1"/>
      <c r="AX50" s="1"/>
      <c r="BA50" s="95"/>
      <c r="BB50" s="95"/>
      <c r="BC50" s="95"/>
      <c r="BD50" s="95"/>
      <c r="BE50" s="96" t="s">
        <v>7</v>
      </c>
      <c r="BF50" s="96" t="s">
        <v>7</v>
      </c>
      <c r="BG50" s="96" t="s">
        <v>7</v>
      </c>
      <c r="BH50" s="96" t="s">
        <v>7</v>
      </c>
      <c r="BI50" s="96" t="s">
        <v>6</v>
      </c>
      <c r="BJ50" s="96" t="s">
        <v>6</v>
      </c>
      <c r="BK50" s="96" t="s">
        <v>6</v>
      </c>
      <c r="BL50" s="96" t="s">
        <v>6</v>
      </c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5"/>
      <c r="CB50" s="95"/>
      <c r="CC50" s="95"/>
      <c r="CD50" s="95"/>
      <c r="CE50" s="95"/>
      <c r="CF50" s="95"/>
      <c r="CG50" s="95"/>
      <c r="CH50" s="95"/>
      <c r="CI50" s="95"/>
      <c r="CJ50" s="95"/>
      <c r="CK50" s="95"/>
      <c r="CL50" s="95"/>
      <c r="CM50" s="95"/>
      <c r="CN50" s="95"/>
      <c r="CO50" s="95"/>
      <c r="CP50" s="95"/>
      <c r="CQ50" s="95"/>
      <c r="CR50" s="95"/>
      <c r="CS50" s="95"/>
      <c r="CT50" s="95"/>
      <c r="CU50" s="95"/>
      <c r="CV50" s="95"/>
      <c r="CW50" s="95"/>
      <c r="CX50" s="95"/>
      <c r="CY50" s="95"/>
      <c r="CZ50" s="95"/>
      <c r="DA50" s="95"/>
      <c r="DB50" s="95"/>
      <c r="DC50" s="95"/>
      <c r="DD50" s="95"/>
      <c r="DE50" s="95"/>
      <c r="DF50" s="95"/>
      <c r="DG50" s="95"/>
      <c r="DH50" s="95"/>
      <c r="DI50" s="95"/>
      <c r="DJ50" s="95"/>
      <c r="DK50" s="95"/>
      <c r="DL50" s="95"/>
      <c r="DM50" s="95"/>
      <c r="DN50" s="95"/>
      <c r="DO50" s="95"/>
      <c r="DP50" s="98"/>
      <c r="DQ50" s="98"/>
      <c r="DR50" s="98"/>
      <c r="DS50" s="98"/>
      <c r="DT50" s="98"/>
      <c r="DU50" s="98"/>
      <c r="DV50" s="98"/>
      <c r="DW50" s="98"/>
      <c r="DX50" s="92"/>
      <c r="DY50" s="92"/>
      <c r="DZ50" s="92"/>
      <c r="EA50" s="92"/>
      <c r="EB50" s="92"/>
      <c r="EC50" s="92"/>
      <c r="ED50" s="92"/>
      <c r="EE50" s="92"/>
      <c r="EF50" s="92"/>
      <c r="EG50" s="92"/>
      <c r="EH50" s="92"/>
      <c r="EI50" s="92"/>
      <c r="EJ50" s="92"/>
      <c r="EK50" s="92"/>
      <c r="EL50" s="92"/>
      <c r="EM50" s="92"/>
      <c r="EN50" s="92"/>
      <c r="EO50" s="92"/>
      <c r="EP50" s="92"/>
      <c r="EQ50" s="92"/>
      <c r="ER50" s="92"/>
      <c r="ES50" s="92"/>
    </row>
    <row r="51" spans="1:149" ht="30" customHeight="1" x14ac:dyDescent="0.25">
      <c r="A51" s="5"/>
      <c r="B51" s="5"/>
      <c r="E51" s="80"/>
      <c r="F51" s="87"/>
      <c r="G51" s="78" t="s">
        <v>39</v>
      </c>
      <c r="H51" s="79"/>
      <c r="I51" s="55">
        <f>DC47*BQ35</f>
        <v>0.26126126126126126</v>
      </c>
      <c r="J51" s="56"/>
      <c r="K51" s="56"/>
      <c r="L51" s="57"/>
      <c r="M51" s="55">
        <f>DD47*BR35</f>
        <v>0.25789473684210523</v>
      </c>
      <c r="N51" s="56"/>
      <c r="O51" s="56"/>
      <c r="P51" s="57"/>
      <c r="Q51" s="55">
        <f>DE47*BS35</f>
        <v>0.25570776255707761</v>
      </c>
      <c r="R51" s="56"/>
      <c r="S51" s="56"/>
      <c r="T51" s="57"/>
      <c r="U51" s="55">
        <f>DF47*BT35</f>
        <v>0.26415094339622641</v>
      </c>
      <c r="V51" s="56"/>
      <c r="W51" s="56"/>
      <c r="X51" s="57"/>
      <c r="Y51" s="55">
        <f>DG47*BU35</f>
        <v>0.25600000000000001</v>
      </c>
      <c r="Z51" s="56"/>
      <c r="AA51" s="56"/>
      <c r="AB51" s="57"/>
      <c r="AC51" s="55">
        <f>DH47*BV35</f>
        <v>0.23076923076923078</v>
      </c>
      <c r="AD51" s="56"/>
      <c r="AE51" s="56"/>
      <c r="AF51" s="57"/>
      <c r="AG51" s="55">
        <f>DI47*BW35</f>
        <v>0.23214285714285712</v>
      </c>
      <c r="AH51" s="56"/>
      <c r="AI51" s="56"/>
      <c r="AJ51" s="57"/>
      <c r="AK51" s="55">
        <f>DJ47*BX35</f>
        <v>0.25</v>
      </c>
      <c r="AL51" s="56"/>
      <c r="AM51" s="56"/>
      <c r="AN51" s="57"/>
      <c r="BA51" s="93"/>
      <c r="BB51" s="93"/>
      <c r="BC51" s="93"/>
      <c r="BD51" s="93"/>
      <c r="BE51" s="96" t="s">
        <v>6</v>
      </c>
      <c r="BF51" s="96" t="s">
        <v>6</v>
      </c>
      <c r="BG51" s="96" t="s">
        <v>6</v>
      </c>
      <c r="BH51" s="96" t="s">
        <v>7</v>
      </c>
      <c r="BI51" s="96" t="s">
        <v>6</v>
      </c>
      <c r="BJ51" s="96" t="s">
        <v>6</v>
      </c>
      <c r="BK51" s="96" t="s">
        <v>3</v>
      </c>
      <c r="BL51" s="96" t="s">
        <v>3</v>
      </c>
      <c r="BM51" s="93"/>
      <c r="BN51" s="93"/>
      <c r="BO51" s="93"/>
      <c r="BP51" s="93"/>
      <c r="BQ51" s="93"/>
      <c r="BR51" s="93"/>
      <c r="BS51" s="93"/>
      <c r="BT51" s="93"/>
      <c r="BU51" s="93"/>
      <c r="BV51" s="93"/>
      <c r="BW51" s="93"/>
      <c r="BX51" s="93"/>
      <c r="BY51" s="93"/>
      <c r="BZ51" s="93"/>
      <c r="CA51" s="93"/>
      <c r="CB51" s="93"/>
      <c r="CC51" s="93"/>
      <c r="CD51" s="93"/>
      <c r="CE51" s="93"/>
      <c r="CF51" s="93"/>
      <c r="CG51" s="93"/>
      <c r="CH51" s="93"/>
      <c r="CI51" s="93"/>
      <c r="CJ51" s="93"/>
      <c r="CK51" s="93"/>
      <c r="CL51" s="93"/>
      <c r="CM51" s="93"/>
      <c r="CN51" s="93"/>
      <c r="CO51" s="93"/>
      <c r="CP51" s="93"/>
      <c r="CQ51" s="93"/>
      <c r="CR51" s="93"/>
      <c r="CS51" s="93"/>
      <c r="CT51" s="93"/>
      <c r="CU51" s="93"/>
      <c r="CV51" s="93"/>
      <c r="CW51" s="93"/>
      <c r="CX51" s="93"/>
      <c r="CY51" s="93"/>
      <c r="CZ51" s="93"/>
      <c r="DA51" s="93"/>
      <c r="DB51" s="93"/>
      <c r="DC51" s="93"/>
      <c r="DD51" s="93"/>
      <c r="DE51" s="93"/>
      <c r="DF51" s="93"/>
      <c r="DG51" s="93"/>
      <c r="DH51" s="93"/>
      <c r="DI51" s="93"/>
      <c r="DJ51" s="93"/>
      <c r="DK51" s="93"/>
      <c r="DL51" s="93"/>
      <c r="DM51" s="93"/>
      <c r="DN51" s="93"/>
      <c r="DO51" s="93"/>
      <c r="DP51" s="97"/>
      <c r="DQ51" s="97"/>
      <c r="DR51" s="97"/>
      <c r="DS51" s="97"/>
      <c r="DT51" s="97"/>
      <c r="DU51" s="97"/>
      <c r="DV51" s="97"/>
      <c r="DW51" s="97"/>
    </row>
    <row r="52" spans="1:149" ht="30" customHeight="1" x14ac:dyDescent="0.25">
      <c r="A52" s="5"/>
      <c r="B52" s="10"/>
      <c r="BA52" s="93"/>
      <c r="BB52" s="93"/>
      <c r="BC52" s="93"/>
      <c r="BD52" s="93"/>
      <c r="BE52" s="96" t="s">
        <v>6</v>
      </c>
      <c r="BF52" s="96" t="s">
        <v>7</v>
      </c>
      <c r="BG52" s="96" t="s">
        <v>6</v>
      </c>
      <c r="BH52" s="96" t="s">
        <v>6</v>
      </c>
      <c r="BI52" s="96" t="s">
        <v>7</v>
      </c>
      <c r="BJ52" s="96" t="s">
        <v>6</v>
      </c>
      <c r="BK52" s="96" t="s">
        <v>3</v>
      </c>
      <c r="BL52" s="96" t="s">
        <v>3</v>
      </c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CI52" s="93"/>
      <c r="CJ52" s="93"/>
      <c r="CK52" s="93"/>
      <c r="CL52" s="93"/>
      <c r="CM52" s="93"/>
      <c r="CN52" s="93"/>
      <c r="CO52" s="93"/>
      <c r="CP52" s="93"/>
      <c r="CQ52" s="93"/>
      <c r="CR52" s="93"/>
      <c r="CS52" s="93"/>
      <c r="CT52" s="93"/>
      <c r="CU52" s="93"/>
      <c r="CV52" s="93"/>
      <c r="CW52" s="93"/>
      <c r="CX52" s="93"/>
      <c r="CY52" s="93"/>
      <c r="CZ52" s="93"/>
      <c r="DA52" s="93"/>
      <c r="DB52" s="93"/>
      <c r="DC52" s="93"/>
      <c r="DD52" s="93"/>
      <c r="DE52" s="93"/>
      <c r="DF52" s="93"/>
      <c r="DG52" s="93"/>
      <c r="DH52" s="93"/>
      <c r="DI52" s="93"/>
      <c r="DJ52" s="93"/>
      <c r="DK52" s="93"/>
      <c r="DL52" s="93"/>
      <c r="DM52" s="93"/>
      <c r="DN52" s="93"/>
      <c r="DO52" s="93"/>
      <c r="DP52" s="97"/>
      <c r="DQ52" s="97"/>
      <c r="DR52" s="97"/>
      <c r="DS52" s="97"/>
      <c r="DT52" s="97"/>
      <c r="DU52" s="97"/>
      <c r="DV52" s="97"/>
      <c r="DW52" s="97"/>
    </row>
    <row r="53" spans="1:149" ht="22.5" customHeight="1" x14ac:dyDescent="0.25">
      <c r="A53" s="5"/>
      <c r="B53" s="10"/>
      <c r="BA53" s="93"/>
      <c r="BB53" s="93"/>
      <c r="BC53" s="93"/>
      <c r="BD53" s="93"/>
      <c r="BE53" s="96" t="s">
        <v>7</v>
      </c>
      <c r="BF53" s="96" t="s">
        <v>3</v>
      </c>
      <c r="BG53" s="96" t="s">
        <v>3</v>
      </c>
      <c r="BH53" s="96" t="s">
        <v>7</v>
      </c>
      <c r="BI53" s="96" t="s">
        <v>3</v>
      </c>
      <c r="BJ53" s="96" t="s">
        <v>7</v>
      </c>
      <c r="BK53" s="96" t="s">
        <v>6</v>
      </c>
      <c r="BL53" s="96" t="s">
        <v>6</v>
      </c>
      <c r="BM53" s="93"/>
      <c r="BN53" s="93"/>
      <c r="BO53" s="93"/>
      <c r="BP53" s="93"/>
      <c r="BQ53" s="93"/>
      <c r="BR53" s="93"/>
      <c r="BS53" s="93"/>
      <c r="BT53" s="93"/>
      <c r="BU53" s="93"/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CI53" s="93"/>
      <c r="CJ53" s="93"/>
      <c r="CK53" s="93"/>
      <c r="CL53" s="93"/>
      <c r="CM53" s="93"/>
      <c r="CN53" s="93"/>
      <c r="CO53" s="93"/>
      <c r="CP53" s="93"/>
      <c r="CQ53" s="93"/>
      <c r="CR53" s="93"/>
      <c r="CS53" s="93"/>
      <c r="CT53" s="93"/>
      <c r="CU53" s="93"/>
      <c r="CV53" s="93"/>
      <c r="CW53" s="93"/>
      <c r="CX53" s="93"/>
      <c r="CY53" s="93"/>
      <c r="CZ53" s="93"/>
      <c r="DA53" s="93"/>
      <c r="DB53" s="93"/>
      <c r="DC53" s="93"/>
      <c r="DD53" s="93"/>
      <c r="DE53" s="93"/>
      <c r="DF53" s="93"/>
      <c r="DG53" s="93"/>
      <c r="DH53" s="93"/>
      <c r="DI53" s="93"/>
      <c r="DJ53" s="93"/>
      <c r="DK53" s="93"/>
      <c r="DL53" s="93"/>
      <c r="DM53" s="93"/>
      <c r="DN53" s="93"/>
      <c r="DO53" s="93"/>
      <c r="DP53" s="97"/>
      <c r="DQ53" s="97"/>
      <c r="DR53" s="97"/>
      <c r="DS53" s="97"/>
      <c r="DT53" s="97"/>
      <c r="DU53" s="97"/>
      <c r="DV53" s="97"/>
      <c r="DW53" s="97"/>
    </row>
    <row r="54" spans="1:149" ht="22.5" customHeight="1" x14ac:dyDescent="0.25">
      <c r="A54" s="5"/>
      <c r="B54" s="10"/>
      <c r="BA54" s="93"/>
      <c r="BB54" s="93"/>
      <c r="BC54" s="93"/>
      <c r="BD54" s="93"/>
      <c r="BE54" s="96" t="s">
        <v>6</v>
      </c>
      <c r="BF54" s="96" t="s">
        <v>6</v>
      </c>
      <c r="BG54" s="96" t="s">
        <v>7</v>
      </c>
      <c r="BH54" s="96" t="s">
        <v>7</v>
      </c>
      <c r="BI54" s="96" t="s">
        <v>6</v>
      </c>
      <c r="BJ54" s="96" t="s">
        <v>3</v>
      </c>
      <c r="BK54" s="96" t="s">
        <v>6</v>
      </c>
      <c r="BL54" s="96" t="s">
        <v>6</v>
      </c>
      <c r="BM54" s="93"/>
      <c r="BN54" s="93"/>
      <c r="BO54" s="93"/>
      <c r="BP54" s="93"/>
      <c r="BQ54" s="93"/>
      <c r="BR54" s="93"/>
      <c r="BS54" s="93"/>
      <c r="BT54" s="93"/>
      <c r="BU54" s="93"/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CI54" s="93"/>
      <c r="CJ54" s="93"/>
      <c r="CK54" s="93"/>
      <c r="CL54" s="93"/>
      <c r="CM54" s="93"/>
      <c r="CN54" s="93"/>
      <c r="CO54" s="93"/>
      <c r="CP54" s="93"/>
      <c r="CQ54" s="93"/>
      <c r="CR54" s="93"/>
      <c r="CS54" s="93"/>
      <c r="CT54" s="93"/>
      <c r="CU54" s="93"/>
      <c r="CV54" s="93"/>
      <c r="CW54" s="93"/>
      <c r="CX54" s="93"/>
      <c r="CY54" s="93"/>
      <c r="CZ54" s="93"/>
      <c r="DA54" s="93"/>
      <c r="DB54" s="93"/>
      <c r="DC54" s="93"/>
      <c r="DD54" s="93"/>
      <c r="DE54" s="93"/>
      <c r="DF54" s="93"/>
      <c r="DG54" s="93"/>
      <c r="DH54" s="93"/>
      <c r="DI54" s="93"/>
      <c r="DJ54" s="93"/>
      <c r="DK54" s="93"/>
      <c r="DL54" s="93"/>
      <c r="DM54" s="93"/>
      <c r="DN54" s="93"/>
      <c r="DO54" s="93"/>
      <c r="DP54" s="97"/>
      <c r="DQ54" s="97"/>
      <c r="DR54" s="97"/>
      <c r="DS54" s="97"/>
      <c r="DT54" s="97"/>
      <c r="DU54" s="97"/>
      <c r="DV54" s="97"/>
      <c r="DW54" s="97"/>
    </row>
    <row r="55" spans="1:149" ht="22.5" customHeight="1" x14ac:dyDescent="0.25">
      <c r="A55" s="5"/>
      <c r="B55" s="10"/>
      <c r="BA55" s="93"/>
      <c r="BB55" s="93"/>
      <c r="BC55" s="93"/>
      <c r="BD55" s="93"/>
      <c r="BE55" s="96" t="s">
        <v>6</v>
      </c>
      <c r="BF55" s="96" t="s">
        <v>7</v>
      </c>
      <c r="BG55" s="96" t="s">
        <v>7</v>
      </c>
      <c r="BH55" s="96" t="s">
        <v>3</v>
      </c>
      <c r="BI55" s="96" t="s">
        <v>6</v>
      </c>
      <c r="BJ55" s="96" t="s">
        <v>6</v>
      </c>
      <c r="BK55" s="96" t="s">
        <v>6</v>
      </c>
      <c r="BL55" s="96" t="s">
        <v>3</v>
      </c>
      <c r="BM55" s="93"/>
      <c r="BN55" s="93"/>
      <c r="BO55" s="93"/>
      <c r="BP55" s="93"/>
      <c r="BQ55" s="93"/>
      <c r="BR55" s="93"/>
      <c r="BS55" s="93"/>
      <c r="BT55" s="93"/>
      <c r="BU55" s="93"/>
      <c r="BV55" s="93"/>
      <c r="BW55" s="93"/>
      <c r="BX55" s="93"/>
      <c r="BY55" s="93"/>
      <c r="BZ55" s="93"/>
      <c r="CA55" s="93"/>
      <c r="CB55" s="93"/>
      <c r="CC55" s="93"/>
      <c r="CD55" s="93"/>
      <c r="CE55" s="93"/>
      <c r="CF55" s="93"/>
      <c r="CG55" s="93"/>
      <c r="CH55" s="93"/>
      <c r="CI55" s="93"/>
      <c r="CJ55" s="93"/>
      <c r="CK55" s="93"/>
      <c r="CL55" s="93"/>
      <c r="CM55" s="93"/>
      <c r="CN55" s="93"/>
      <c r="CO55" s="93"/>
      <c r="CP55" s="93"/>
      <c r="CQ55" s="93"/>
      <c r="CR55" s="93"/>
      <c r="CS55" s="93"/>
      <c r="CT55" s="93"/>
      <c r="CU55" s="93"/>
      <c r="CV55" s="93"/>
      <c r="CW55" s="93"/>
      <c r="CX55" s="93"/>
      <c r="CY55" s="93"/>
      <c r="CZ55" s="93"/>
      <c r="DA55" s="93"/>
      <c r="DB55" s="93"/>
      <c r="DC55" s="93"/>
      <c r="DD55" s="93"/>
      <c r="DE55" s="93"/>
      <c r="DF55" s="93"/>
      <c r="DG55" s="93"/>
      <c r="DH55" s="93"/>
      <c r="DI55" s="93"/>
      <c r="DJ55" s="93"/>
      <c r="DK55" s="93"/>
      <c r="DL55" s="93"/>
      <c r="DM55" s="93"/>
      <c r="DN55" s="93"/>
      <c r="DO55" s="93"/>
      <c r="DP55" s="97"/>
      <c r="DQ55" s="97"/>
      <c r="DR55" s="97"/>
      <c r="DS55" s="97"/>
      <c r="DT55" s="97"/>
      <c r="DU55" s="97"/>
      <c r="DV55" s="97"/>
      <c r="DW55" s="97"/>
    </row>
    <row r="56" spans="1:149" ht="22.5" customHeight="1" x14ac:dyDescent="0.25">
      <c r="A56" s="5"/>
      <c r="B56" s="10"/>
      <c r="BA56" s="93"/>
      <c r="BB56" s="93"/>
      <c r="BC56" s="93"/>
      <c r="BD56" s="93"/>
      <c r="BE56" s="96" t="s">
        <v>3</v>
      </c>
      <c r="BF56" s="96" t="s">
        <v>3</v>
      </c>
      <c r="BG56" s="96" t="s">
        <v>3</v>
      </c>
      <c r="BH56" s="96" t="s">
        <v>6</v>
      </c>
      <c r="BI56" s="96" t="s">
        <v>3</v>
      </c>
      <c r="BJ56" s="96" t="s">
        <v>6</v>
      </c>
      <c r="BK56" s="96" t="s">
        <v>6</v>
      </c>
      <c r="BL56" s="96" t="s">
        <v>6</v>
      </c>
      <c r="BM56" s="93"/>
      <c r="BN56" s="93"/>
      <c r="BO56" s="93"/>
      <c r="BP56" s="93"/>
      <c r="BQ56" s="93"/>
      <c r="BR56" s="93"/>
      <c r="BS56" s="93"/>
      <c r="BT56" s="93"/>
      <c r="BU56" s="93"/>
      <c r="BV56" s="93"/>
      <c r="BW56" s="93"/>
      <c r="BX56" s="93"/>
      <c r="BY56" s="93"/>
      <c r="BZ56" s="93"/>
      <c r="CA56" s="93"/>
      <c r="CB56" s="93"/>
      <c r="CC56" s="93"/>
      <c r="CD56" s="93"/>
      <c r="CE56" s="93"/>
      <c r="CF56" s="93"/>
      <c r="CG56" s="93"/>
      <c r="CH56" s="93"/>
      <c r="CI56" s="93"/>
      <c r="CJ56" s="93"/>
      <c r="CK56" s="93"/>
      <c r="CL56" s="93"/>
      <c r="CM56" s="93"/>
      <c r="CN56" s="93"/>
      <c r="CO56" s="93"/>
      <c r="CP56" s="93"/>
      <c r="CQ56" s="93"/>
      <c r="CR56" s="93"/>
      <c r="CS56" s="93"/>
      <c r="CT56" s="93"/>
      <c r="CU56" s="93"/>
      <c r="CV56" s="93"/>
      <c r="CW56" s="93"/>
      <c r="CX56" s="93"/>
      <c r="CY56" s="93"/>
      <c r="CZ56" s="93"/>
      <c r="DA56" s="93"/>
      <c r="DB56" s="93"/>
      <c r="DC56" s="93"/>
      <c r="DD56" s="93"/>
      <c r="DE56" s="93"/>
      <c r="DF56" s="93"/>
      <c r="DG56" s="93"/>
      <c r="DH56" s="93"/>
      <c r="DI56" s="93"/>
      <c r="DJ56" s="93"/>
      <c r="DK56" s="93"/>
      <c r="DL56" s="93"/>
      <c r="DM56" s="93"/>
      <c r="DN56" s="93"/>
      <c r="DO56" s="93"/>
      <c r="DP56" s="97"/>
      <c r="DQ56" s="97"/>
      <c r="DR56" s="97"/>
      <c r="DS56" s="97"/>
      <c r="DT56" s="97"/>
      <c r="DU56" s="97"/>
      <c r="DV56" s="97"/>
      <c r="DW56" s="97"/>
    </row>
    <row r="57" spans="1:149" ht="29.25" customHeight="1" x14ac:dyDescent="0.25">
      <c r="A57" s="5"/>
      <c r="B57" s="10"/>
      <c r="BA57" s="93"/>
      <c r="BB57" s="93"/>
      <c r="BC57" s="93"/>
      <c r="BD57" s="93"/>
      <c r="BE57" s="96" t="s">
        <v>7</v>
      </c>
      <c r="BF57" s="96" t="s">
        <v>6</v>
      </c>
      <c r="BG57" s="96" t="s">
        <v>3</v>
      </c>
      <c r="BH57" s="96" t="s">
        <v>7</v>
      </c>
      <c r="BI57" s="96" t="s">
        <v>6</v>
      </c>
      <c r="BJ57" s="96" t="s">
        <v>3</v>
      </c>
      <c r="BK57" s="96" t="s">
        <v>6</v>
      </c>
      <c r="BL57" s="96" t="s">
        <v>6</v>
      </c>
      <c r="BM57" s="93"/>
      <c r="BN57" s="93"/>
      <c r="BO57" s="93"/>
      <c r="BP57" s="93"/>
      <c r="BQ57" s="93"/>
      <c r="BR57" s="93"/>
      <c r="BS57" s="93"/>
      <c r="BT57" s="93"/>
      <c r="BU57" s="93"/>
      <c r="BV57" s="93"/>
      <c r="BW57" s="93"/>
      <c r="BX57" s="93"/>
      <c r="BY57" s="93"/>
      <c r="BZ57" s="93"/>
      <c r="CA57" s="93"/>
      <c r="CB57" s="93"/>
      <c r="CC57" s="93"/>
      <c r="CD57" s="93"/>
      <c r="CE57" s="93"/>
      <c r="CF57" s="93"/>
      <c r="CG57" s="93"/>
      <c r="CH57" s="93"/>
      <c r="CI57" s="93"/>
      <c r="CJ57" s="93"/>
      <c r="CK57" s="93"/>
      <c r="CL57" s="93"/>
      <c r="CM57" s="93"/>
      <c r="CN57" s="93"/>
      <c r="CO57" s="93"/>
      <c r="CP57" s="93"/>
      <c r="CQ57" s="93"/>
      <c r="CR57" s="93"/>
      <c r="CS57" s="93"/>
      <c r="CT57" s="93"/>
      <c r="CU57" s="93"/>
      <c r="CV57" s="93"/>
      <c r="CW57" s="93"/>
      <c r="CX57" s="93"/>
      <c r="CY57" s="93"/>
      <c r="CZ57" s="93"/>
      <c r="DA57" s="93"/>
      <c r="DB57" s="93"/>
      <c r="DC57" s="93"/>
      <c r="DD57" s="93"/>
      <c r="DE57" s="93"/>
      <c r="DF57" s="93"/>
      <c r="DG57" s="93"/>
      <c r="DH57" s="93"/>
      <c r="DI57" s="93"/>
      <c r="DJ57" s="93"/>
      <c r="DK57" s="93"/>
      <c r="DL57" s="93"/>
      <c r="DM57" s="93"/>
      <c r="DN57" s="93"/>
      <c r="DO57" s="93"/>
      <c r="DP57" s="97"/>
      <c r="DQ57" s="97"/>
      <c r="DR57" s="97"/>
      <c r="DS57" s="97"/>
      <c r="DT57" s="97"/>
      <c r="DU57" s="97"/>
      <c r="DV57" s="97"/>
      <c r="DW57" s="97"/>
    </row>
    <row r="58" spans="1:149" ht="29.25" customHeight="1" x14ac:dyDescent="0.25">
      <c r="A58" s="5"/>
      <c r="B58" s="10"/>
      <c r="BA58" s="93"/>
      <c r="BB58" s="93"/>
      <c r="BC58" s="93"/>
      <c r="BD58" s="93"/>
      <c r="BE58" s="93"/>
      <c r="BF58" s="93"/>
      <c r="BG58" s="93"/>
      <c r="BH58" s="93"/>
      <c r="BI58" s="93"/>
      <c r="BJ58" s="93"/>
      <c r="BK58" s="93"/>
      <c r="BL58" s="93"/>
      <c r="BM58" s="93"/>
      <c r="BN58" s="93"/>
      <c r="BO58" s="93"/>
      <c r="BP58" s="93"/>
      <c r="BQ58" s="93"/>
      <c r="BR58" s="93"/>
      <c r="BS58" s="93"/>
      <c r="BT58" s="93"/>
      <c r="BU58" s="93"/>
      <c r="BV58" s="93"/>
      <c r="BW58" s="93"/>
      <c r="BX58" s="93"/>
      <c r="BY58" s="93"/>
      <c r="BZ58" s="93"/>
      <c r="CA58" s="93"/>
      <c r="CB58" s="93"/>
      <c r="CC58" s="93"/>
      <c r="CD58" s="93"/>
      <c r="CE58" s="93"/>
      <c r="CF58" s="93"/>
      <c r="CG58" s="93"/>
      <c r="CH58" s="93"/>
      <c r="CI58" s="93"/>
      <c r="CJ58" s="93"/>
      <c r="CK58" s="93"/>
      <c r="CL58" s="93"/>
      <c r="CM58" s="93"/>
      <c r="CN58" s="93"/>
      <c r="CO58" s="93"/>
      <c r="CP58" s="93"/>
      <c r="CQ58" s="93"/>
      <c r="CR58" s="93"/>
      <c r="CS58" s="93"/>
      <c r="CT58" s="93"/>
      <c r="CU58" s="93"/>
      <c r="CV58" s="93"/>
      <c r="CW58" s="93"/>
      <c r="CX58" s="93"/>
      <c r="CY58" s="93"/>
      <c r="CZ58" s="93"/>
      <c r="DA58" s="93"/>
      <c r="DB58" s="93"/>
      <c r="DC58" s="93"/>
      <c r="DD58" s="93"/>
      <c r="DE58" s="93"/>
      <c r="DF58" s="93"/>
      <c r="DG58" s="93"/>
      <c r="DH58" s="93"/>
      <c r="DI58" s="93"/>
      <c r="DJ58" s="93"/>
      <c r="DK58" s="93"/>
      <c r="DL58" s="93"/>
      <c r="DM58" s="93"/>
      <c r="DN58" s="93"/>
      <c r="DO58" s="93"/>
      <c r="DP58" s="97"/>
      <c r="DQ58" s="97"/>
      <c r="DR58" s="97"/>
      <c r="DS58" s="97"/>
      <c r="DT58" s="97"/>
      <c r="DU58" s="97"/>
      <c r="DV58" s="97"/>
      <c r="DW58" s="97"/>
    </row>
    <row r="59" spans="1:149" ht="29.25" customHeight="1" x14ac:dyDescent="0.25">
      <c r="A59" s="5"/>
      <c r="B59" s="10"/>
      <c r="BA59" s="93"/>
      <c r="BB59" s="93"/>
      <c r="BC59" s="93"/>
      <c r="BD59" s="93"/>
      <c r="BE59" s="93"/>
      <c r="BF59" s="93"/>
      <c r="BG59" s="93"/>
      <c r="BH59" s="93"/>
      <c r="BI59" s="93"/>
      <c r="BJ59" s="93"/>
      <c r="BK59" s="93"/>
      <c r="BL59" s="93"/>
      <c r="BM59" s="93"/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93"/>
      <c r="BY59" s="93"/>
      <c r="BZ59" s="93"/>
      <c r="CA59" s="93"/>
      <c r="CB59" s="93"/>
      <c r="CC59" s="93"/>
      <c r="CD59" s="93"/>
      <c r="CE59" s="93"/>
      <c r="CF59" s="93"/>
      <c r="CG59" s="93"/>
      <c r="CH59" s="93"/>
      <c r="CI59" s="93"/>
      <c r="CJ59" s="93"/>
      <c r="CK59" s="93"/>
      <c r="CL59" s="93"/>
      <c r="CM59" s="93"/>
      <c r="CN59" s="93"/>
      <c r="CO59" s="93"/>
      <c r="CP59" s="93"/>
      <c r="CQ59" s="93"/>
      <c r="CR59" s="93"/>
      <c r="CS59" s="93"/>
      <c r="CT59" s="93"/>
      <c r="CU59" s="93"/>
      <c r="CV59" s="93"/>
      <c r="CW59" s="93"/>
      <c r="CX59" s="93"/>
      <c r="CY59" s="93"/>
      <c r="CZ59" s="93"/>
      <c r="DA59" s="93"/>
      <c r="DB59" s="93"/>
      <c r="DC59" s="93"/>
      <c r="DD59" s="93"/>
      <c r="DE59" s="93"/>
      <c r="DF59" s="93"/>
      <c r="DG59" s="93"/>
      <c r="DH59" s="93"/>
      <c r="DI59" s="93"/>
      <c r="DJ59" s="93"/>
      <c r="DK59" s="93"/>
      <c r="DL59" s="93"/>
      <c r="DM59" s="93"/>
      <c r="DN59" s="93"/>
      <c r="DO59" s="93"/>
      <c r="DP59" s="97"/>
      <c r="DQ59" s="97"/>
      <c r="DR59" s="97"/>
      <c r="DS59" s="97"/>
      <c r="DT59" s="97"/>
      <c r="DU59" s="97"/>
      <c r="DV59" s="97"/>
      <c r="DW59" s="97"/>
    </row>
    <row r="60" spans="1:149" ht="29.25" customHeight="1" x14ac:dyDescent="0.25">
      <c r="A60" s="5"/>
      <c r="B60" s="10"/>
      <c r="BA60" s="93"/>
      <c r="BB60" s="93"/>
      <c r="BC60" s="93"/>
      <c r="BD60" s="93"/>
      <c r="BE60" s="93"/>
      <c r="BF60" s="93"/>
      <c r="BG60" s="93"/>
      <c r="BH60" s="93"/>
      <c r="BI60" s="93"/>
      <c r="BJ60" s="93"/>
      <c r="BK60" s="93"/>
      <c r="BL60" s="93"/>
      <c r="BM60" s="93"/>
      <c r="BN60" s="93"/>
      <c r="BO60" s="93"/>
      <c r="BP60" s="93"/>
      <c r="BQ60" s="93"/>
      <c r="BR60" s="93"/>
      <c r="BS60" s="93"/>
      <c r="BT60" s="93"/>
      <c r="BU60" s="93"/>
      <c r="BV60" s="93"/>
      <c r="BW60" s="93"/>
      <c r="BX60" s="93"/>
      <c r="BY60" s="93"/>
      <c r="BZ60" s="93"/>
      <c r="CA60" s="93"/>
      <c r="CB60" s="93"/>
      <c r="CC60" s="93"/>
      <c r="CD60" s="93"/>
      <c r="CE60" s="93"/>
      <c r="CF60" s="93"/>
      <c r="CG60" s="93"/>
      <c r="CH60" s="93"/>
      <c r="CI60" s="93"/>
      <c r="CJ60" s="93"/>
      <c r="CK60" s="93"/>
      <c r="CL60" s="93"/>
      <c r="CM60" s="93"/>
      <c r="CN60" s="93"/>
      <c r="CO60" s="93"/>
      <c r="CP60" s="93"/>
      <c r="CQ60" s="93"/>
      <c r="CR60" s="93"/>
      <c r="CS60" s="93"/>
      <c r="CT60" s="93"/>
      <c r="CU60" s="93"/>
      <c r="CV60" s="93"/>
      <c r="CW60" s="93"/>
      <c r="CX60" s="93"/>
      <c r="CY60" s="93"/>
      <c r="CZ60" s="93"/>
      <c r="DA60" s="93"/>
      <c r="DB60" s="93"/>
      <c r="DC60" s="93"/>
      <c r="DD60" s="93"/>
      <c r="DE60" s="93"/>
      <c r="DF60" s="93"/>
      <c r="DG60" s="93"/>
      <c r="DH60" s="93"/>
      <c r="DI60" s="93"/>
      <c r="DJ60" s="93"/>
      <c r="DK60" s="93"/>
      <c r="DL60" s="93"/>
      <c r="DM60" s="93"/>
      <c r="DN60" s="93"/>
      <c r="DO60" s="93"/>
      <c r="DP60" s="97"/>
      <c r="DQ60" s="97"/>
      <c r="DR60" s="97"/>
      <c r="DS60" s="97"/>
      <c r="DT60" s="97"/>
      <c r="DU60" s="97"/>
      <c r="DV60" s="97"/>
      <c r="DW60" s="97"/>
    </row>
    <row r="61" spans="1:149" ht="29.25" customHeight="1" x14ac:dyDescent="0.25">
      <c r="A61" s="5"/>
      <c r="B61" s="10"/>
      <c r="J61" s="26"/>
      <c r="K61" s="26"/>
      <c r="L61" s="26"/>
      <c r="M61" s="26"/>
      <c r="N61" s="26"/>
      <c r="O61" s="26"/>
      <c r="P61" s="26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  <c r="CD61" s="93"/>
      <c r="CE61" s="93"/>
      <c r="CF61" s="93"/>
      <c r="CG61" s="93"/>
      <c r="CH61" s="93"/>
      <c r="CI61" s="93"/>
      <c r="CJ61" s="93"/>
      <c r="CK61" s="93"/>
      <c r="CL61" s="93"/>
      <c r="CM61" s="93"/>
      <c r="CN61" s="93"/>
      <c r="CO61" s="93"/>
      <c r="CP61" s="93"/>
      <c r="CQ61" s="93"/>
      <c r="CR61" s="93"/>
      <c r="CS61" s="93"/>
      <c r="CT61" s="93"/>
      <c r="CU61" s="93"/>
      <c r="CV61" s="93"/>
      <c r="CW61" s="93"/>
      <c r="CX61" s="93"/>
      <c r="CY61" s="93"/>
      <c r="CZ61" s="93"/>
      <c r="DA61" s="93"/>
      <c r="DB61" s="93"/>
      <c r="DC61" s="93"/>
      <c r="DD61" s="93"/>
      <c r="DE61" s="93"/>
      <c r="DF61" s="93"/>
      <c r="DG61" s="93"/>
      <c r="DH61" s="93"/>
      <c r="DI61" s="93"/>
      <c r="DJ61" s="93"/>
      <c r="DK61" s="93"/>
      <c r="DL61" s="93"/>
      <c r="DM61" s="93"/>
      <c r="DN61" s="93"/>
      <c r="DO61" s="93"/>
      <c r="DP61" s="97"/>
      <c r="DQ61" s="97"/>
      <c r="DR61" s="97"/>
      <c r="DS61" s="97"/>
      <c r="DT61" s="97"/>
      <c r="DU61" s="97"/>
      <c r="DV61" s="97"/>
      <c r="DW61" s="97"/>
    </row>
    <row r="62" spans="1:149" ht="29.25" customHeight="1" x14ac:dyDescent="0.25">
      <c r="A62" s="5"/>
      <c r="J62" s="26"/>
      <c r="K62" s="26"/>
      <c r="L62" s="26"/>
      <c r="M62" s="26"/>
      <c r="N62" s="26"/>
      <c r="O62" s="26"/>
      <c r="P62" s="26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93"/>
      <c r="CA62" s="93"/>
      <c r="CB62" s="93"/>
      <c r="CC62" s="93"/>
      <c r="CD62" s="93"/>
      <c r="CE62" s="93"/>
      <c r="CF62" s="93"/>
      <c r="CG62" s="93"/>
      <c r="CH62" s="93"/>
      <c r="CI62" s="93"/>
      <c r="CJ62" s="93"/>
      <c r="CK62" s="93"/>
      <c r="CL62" s="93"/>
      <c r="CM62" s="93"/>
      <c r="CN62" s="93"/>
      <c r="CO62" s="93"/>
      <c r="CP62" s="93"/>
      <c r="CQ62" s="93"/>
      <c r="CR62" s="93"/>
      <c r="CS62" s="93"/>
      <c r="CT62" s="93"/>
      <c r="CU62" s="93"/>
      <c r="CV62" s="93"/>
      <c r="CW62" s="93"/>
      <c r="CX62" s="93"/>
      <c r="CY62" s="93"/>
      <c r="CZ62" s="93"/>
      <c r="DA62" s="93"/>
      <c r="DB62" s="93"/>
      <c r="DC62" s="93"/>
      <c r="DD62" s="93"/>
      <c r="DE62" s="93"/>
      <c r="DF62" s="93"/>
      <c r="DG62" s="93"/>
      <c r="DH62" s="93"/>
      <c r="DI62" s="93"/>
      <c r="DJ62" s="93"/>
      <c r="DK62" s="93"/>
      <c r="DL62" s="93"/>
      <c r="DM62" s="93"/>
      <c r="DN62" s="93"/>
      <c r="DO62" s="93"/>
      <c r="DP62" s="97"/>
      <c r="DQ62" s="97"/>
      <c r="DR62" s="97"/>
      <c r="DS62" s="97"/>
      <c r="DT62" s="97"/>
      <c r="DU62" s="97"/>
      <c r="DV62" s="97"/>
      <c r="DW62" s="97"/>
    </row>
    <row r="63" spans="1:149" x14ac:dyDescent="0.25"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3"/>
      <c r="CF63" s="93"/>
      <c r="CG63" s="93"/>
      <c r="CH63" s="93"/>
      <c r="CI63" s="93"/>
      <c r="CJ63" s="93"/>
      <c r="CK63" s="93"/>
      <c r="CL63" s="93"/>
      <c r="CM63" s="93"/>
      <c r="CN63" s="93"/>
      <c r="CO63" s="93"/>
      <c r="CP63" s="93"/>
      <c r="CQ63" s="93"/>
      <c r="CR63" s="93"/>
      <c r="CS63" s="93"/>
      <c r="CT63" s="93"/>
      <c r="CU63" s="93"/>
      <c r="CV63" s="93"/>
      <c r="CW63" s="93"/>
      <c r="CX63" s="93"/>
      <c r="CY63" s="93"/>
      <c r="CZ63" s="93"/>
      <c r="DA63" s="93"/>
      <c r="DB63" s="93"/>
      <c r="DC63" s="93"/>
      <c r="DD63" s="93"/>
      <c r="DE63" s="93"/>
      <c r="DF63" s="93"/>
      <c r="DG63" s="93"/>
      <c r="DH63" s="93"/>
      <c r="DI63" s="93"/>
      <c r="DJ63" s="93"/>
      <c r="DK63" s="93"/>
      <c r="DL63" s="93"/>
      <c r="DM63" s="93"/>
      <c r="DN63" s="93"/>
      <c r="DO63" s="93"/>
      <c r="DP63" s="97"/>
      <c r="DQ63" s="97"/>
      <c r="DR63" s="97"/>
      <c r="DS63" s="97"/>
      <c r="DT63" s="97"/>
      <c r="DU63" s="97"/>
      <c r="DV63" s="97"/>
      <c r="DW63" s="97"/>
    </row>
    <row r="64" spans="1:149" x14ac:dyDescent="0.25"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3"/>
      <c r="CF64" s="93"/>
      <c r="CG64" s="93"/>
      <c r="CH64" s="93"/>
      <c r="CI64" s="93"/>
      <c r="CJ64" s="93"/>
      <c r="CK64" s="93"/>
      <c r="CL64" s="93"/>
      <c r="CM64" s="93"/>
      <c r="CN64" s="93"/>
      <c r="CO64" s="93"/>
      <c r="CP64" s="93"/>
      <c r="CQ64" s="93"/>
      <c r="CR64" s="93"/>
      <c r="CS64" s="93"/>
      <c r="CT64" s="93"/>
      <c r="CU64" s="93"/>
      <c r="CV64" s="93"/>
      <c r="CW64" s="93"/>
      <c r="CX64" s="93"/>
      <c r="CY64" s="93"/>
      <c r="CZ64" s="93"/>
      <c r="DA64" s="93"/>
      <c r="DB64" s="93"/>
      <c r="DC64" s="93"/>
      <c r="DD64" s="93"/>
      <c r="DE64" s="93"/>
      <c r="DF64" s="93"/>
      <c r="DG64" s="93"/>
      <c r="DH64" s="93"/>
      <c r="DI64" s="93"/>
      <c r="DJ64" s="93"/>
      <c r="DK64" s="93"/>
      <c r="DL64" s="93"/>
      <c r="DM64" s="93"/>
      <c r="DN64" s="93"/>
      <c r="DO64" s="93"/>
      <c r="DP64" s="97"/>
      <c r="DQ64" s="97"/>
      <c r="DR64" s="97"/>
      <c r="DS64" s="97"/>
      <c r="DT64" s="97"/>
      <c r="DU64" s="97"/>
      <c r="DV64" s="97"/>
      <c r="DW64" s="97"/>
    </row>
    <row r="65" spans="53:127" x14ac:dyDescent="0.25"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  <c r="CD65" s="93"/>
      <c r="CE65" s="93"/>
      <c r="CF65" s="93"/>
      <c r="CG65" s="93"/>
      <c r="CH65" s="93"/>
      <c r="CI65" s="93"/>
      <c r="CJ65" s="93"/>
      <c r="CK65" s="93"/>
      <c r="CL65" s="93"/>
      <c r="CM65" s="93"/>
      <c r="CN65" s="93"/>
      <c r="CO65" s="93"/>
      <c r="CP65" s="93"/>
      <c r="CQ65" s="93"/>
      <c r="CR65" s="93"/>
      <c r="CS65" s="93"/>
      <c r="CT65" s="93"/>
      <c r="CU65" s="93"/>
      <c r="CV65" s="93"/>
      <c r="CW65" s="93"/>
      <c r="CX65" s="93"/>
      <c r="CY65" s="93"/>
      <c r="CZ65" s="93"/>
      <c r="DA65" s="93"/>
      <c r="DB65" s="93"/>
      <c r="DC65" s="93"/>
      <c r="DD65" s="93"/>
      <c r="DE65" s="93"/>
      <c r="DF65" s="93"/>
      <c r="DG65" s="93"/>
      <c r="DH65" s="93"/>
      <c r="DI65" s="93"/>
      <c r="DJ65" s="93"/>
      <c r="DK65" s="93"/>
      <c r="DL65" s="93"/>
      <c r="DM65" s="93"/>
      <c r="DN65" s="93"/>
      <c r="DO65" s="93"/>
      <c r="DP65" s="97"/>
      <c r="DQ65" s="97"/>
      <c r="DR65" s="97"/>
      <c r="DS65" s="97"/>
      <c r="DT65" s="97"/>
      <c r="DU65" s="97"/>
      <c r="DV65" s="97"/>
      <c r="DW65" s="97"/>
    </row>
    <row r="66" spans="53:127" x14ac:dyDescent="0.25"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  <c r="BP66" s="97"/>
      <c r="BQ66" s="97"/>
      <c r="BR66" s="97"/>
      <c r="BS66" s="97"/>
      <c r="BT66" s="97"/>
      <c r="BU66" s="97"/>
      <c r="BV66" s="97"/>
      <c r="BW66" s="97"/>
      <c r="BX66" s="97"/>
      <c r="BY66" s="97"/>
      <c r="BZ66" s="97"/>
      <c r="CA66" s="97"/>
      <c r="CB66" s="97"/>
      <c r="CC66" s="97"/>
      <c r="CD66" s="97"/>
      <c r="CE66" s="97"/>
      <c r="CF66" s="97"/>
      <c r="CG66" s="97"/>
      <c r="CH66" s="97"/>
      <c r="CI66" s="97"/>
      <c r="CJ66" s="97"/>
      <c r="CK66" s="97"/>
      <c r="CL66" s="97"/>
      <c r="CM66" s="97"/>
      <c r="CN66" s="97"/>
      <c r="CO66" s="97"/>
      <c r="CP66" s="97"/>
      <c r="CQ66" s="97"/>
      <c r="CR66" s="97"/>
      <c r="CS66" s="97"/>
      <c r="CT66" s="97"/>
      <c r="CU66" s="97"/>
      <c r="CV66" s="97"/>
      <c r="CW66" s="97"/>
      <c r="CX66" s="97"/>
      <c r="CY66" s="97"/>
      <c r="CZ66" s="97"/>
      <c r="DA66" s="97"/>
      <c r="DB66" s="97"/>
      <c r="DC66" s="97"/>
      <c r="DD66" s="97"/>
      <c r="DE66" s="97"/>
      <c r="DF66" s="97"/>
      <c r="DG66" s="97"/>
      <c r="DH66" s="97"/>
      <c r="DI66" s="97"/>
      <c r="DJ66" s="97"/>
      <c r="DK66" s="97"/>
      <c r="DL66" s="97"/>
      <c r="DM66" s="97"/>
      <c r="DN66" s="97"/>
      <c r="DO66" s="97"/>
      <c r="DP66" s="97"/>
      <c r="DQ66" s="97"/>
      <c r="DR66" s="97"/>
      <c r="DS66" s="97"/>
      <c r="DT66" s="97"/>
      <c r="DU66" s="97"/>
      <c r="DV66" s="97"/>
      <c r="DW66" s="97"/>
    </row>
    <row r="67" spans="53:127" x14ac:dyDescent="0.25"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  <c r="BP67" s="97"/>
      <c r="BQ67" s="97"/>
      <c r="BR67" s="97"/>
      <c r="BS67" s="97"/>
      <c r="BT67" s="97"/>
      <c r="BU67" s="97"/>
      <c r="BV67" s="97"/>
      <c r="BW67" s="97"/>
      <c r="BX67" s="97"/>
      <c r="BY67" s="97"/>
      <c r="BZ67" s="97"/>
      <c r="CA67" s="97"/>
      <c r="CB67" s="97"/>
      <c r="CC67" s="97"/>
      <c r="CD67" s="97"/>
      <c r="CE67" s="97"/>
      <c r="CF67" s="97"/>
      <c r="CG67" s="97"/>
      <c r="CH67" s="97"/>
      <c r="CI67" s="97"/>
      <c r="CJ67" s="97"/>
      <c r="CK67" s="97"/>
      <c r="CL67" s="97"/>
      <c r="CM67" s="97"/>
      <c r="CN67" s="97"/>
      <c r="CO67" s="97"/>
      <c r="CP67" s="97"/>
      <c r="CQ67" s="97"/>
      <c r="CR67" s="97"/>
      <c r="CS67" s="97"/>
      <c r="CT67" s="97"/>
      <c r="CU67" s="97"/>
      <c r="CV67" s="97"/>
      <c r="CW67" s="97"/>
      <c r="CX67" s="97"/>
      <c r="CY67" s="97"/>
      <c r="CZ67" s="97"/>
      <c r="DA67" s="97"/>
      <c r="DB67" s="97"/>
      <c r="DC67" s="97"/>
      <c r="DD67" s="97"/>
      <c r="DE67" s="97"/>
      <c r="DF67" s="97"/>
      <c r="DG67" s="97"/>
      <c r="DH67" s="97"/>
      <c r="DI67" s="97"/>
      <c r="DJ67" s="97"/>
      <c r="DK67" s="97"/>
      <c r="DL67" s="97"/>
      <c r="DM67" s="97"/>
      <c r="DN67" s="97"/>
      <c r="DO67" s="97"/>
      <c r="DP67" s="97"/>
      <c r="DQ67" s="97"/>
      <c r="DR67" s="97"/>
      <c r="DS67" s="97"/>
      <c r="DT67" s="97"/>
      <c r="DU67" s="97"/>
      <c r="DV67" s="97"/>
      <c r="DW67" s="97"/>
    </row>
    <row r="68" spans="53:127" x14ac:dyDescent="0.25"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  <c r="BP68" s="97"/>
      <c r="BQ68" s="97"/>
      <c r="BR68" s="97"/>
      <c r="BS68" s="97"/>
      <c r="BT68" s="97"/>
      <c r="BU68" s="97"/>
      <c r="BV68" s="97"/>
      <c r="BW68" s="97"/>
      <c r="BX68" s="97"/>
      <c r="BY68" s="97"/>
      <c r="BZ68" s="97"/>
      <c r="CA68" s="97"/>
      <c r="CB68" s="97"/>
      <c r="CC68" s="97"/>
      <c r="CD68" s="97"/>
      <c r="CE68" s="97"/>
      <c r="CF68" s="97"/>
      <c r="CG68" s="97"/>
      <c r="CH68" s="97"/>
      <c r="CI68" s="97"/>
      <c r="CJ68" s="97"/>
      <c r="CK68" s="97"/>
      <c r="CL68" s="97"/>
      <c r="CM68" s="97"/>
      <c r="CN68" s="97"/>
      <c r="CO68" s="97"/>
      <c r="CP68" s="97"/>
      <c r="CQ68" s="97"/>
      <c r="CR68" s="97"/>
      <c r="CS68" s="97"/>
      <c r="CT68" s="97"/>
      <c r="CU68" s="97"/>
      <c r="CV68" s="97"/>
      <c r="CW68" s="97"/>
      <c r="CX68" s="97"/>
      <c r="CY68" s="97"/>
      <c r="CZ68" s="97"/>
      <c r="DA68" s="97"/>
      <c r="DB68" s="97"/>
      <c r="DC68" s="97"/>
      <c r="DD68" s="97"/>
      <c r="DE68" s="97"/>
      <c r="DF68" s="97"/>
      <c r="DG68" s="97"/>
      <c r="DH68" s="97"/>
      <c r="DI68" s="97"/>
      <c r="DJ68" s="97"/>
      <c r="DK68" s="97"/>
      <c r="DL68" s="97"/>
      <c r="DM68" s="97"/>
      <c r="DN68" s="97"/>
      <c r="DO68" s="97"/>
      <c r="DP68" s="97"/>
      <c r="DQ68" s="97"/>
      <c r="DR68" s="97"/>
      <c r="DS68" s="97"/>
      <c r="DT68" s="97"/>
      <c r="DU68" s="97"/>
      <c r="DV68" s="97"/>
      <c r="DW68" s="97"/>
    </row>
    <row r="69" spans="53:127" x14ac:dyDescent="0.25"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  <c r="BP69" s="97"/>
      <c r="BQ69" s="97"/>
      <c r="BR69" s="97"/>
      <c r="BS69" s="97"/>
      <c r="BT69" s="97"/>
      <c r="BU69" s="97"/>
      <c r="BV69" s="97"/>
      <c r="BW69" s="97"/>
      <c r="BX69" s="97"/>
      <c r="BY69" s="97"/>
      <c r="BZ69" s="97"/>
      <c r="CA69" s="97"/>
      <c r="CB69" s="97"/>
      <c r="CC69" s="97"/>
      <c r="CD69" s="97"/>
      <c r="CE69" s="97"/>
      <c r="CF69" s="97"/>
      <c r="CG69" s="97"/>
      <c r="CH69" s="97"/>
      <c r="CI69" s="97"/>
      <c r="CJ69" s="97"/>
      <c r="CK69" s="97"/>
      <c r="CL69" s="97"/>
      <c r="CM69" s="97"/>
      <c r="CN69" s="97"/>
      <c r="CO69" s="97"/>
      <c r="CP69" s="97"/>
      <c r="CQ69" s="97"/>
      <c r="CR69" s="97"/>
      <c r="CS69" s="97"/>
      <c r="CT69" s="97"/>
      <c r="CU69" s="97"/>
      <c r="CV69" s="97"/>
      <c r="CW69" s="97"/>
      <c r="CX69" s="97"/>
      <c r="CY69" s="97"/>
      <c r="CZ69" s="97"/>
      <c r="DA69" s="97"/>
      <c r="DB69" s="97"/>
      <c r="DC69" s="97"/>
      <c r="DD69" s="97"/>
      <c r="DE69" s="97"/>
      <c r="DF69" s="97"/>
      <c r="DG69" s="97"/>
      <c r="DH69" s="97"/>
      <c r="DI69" s="97"/>
      <c r="DJ69" s="97"/>
      <c r="DK69" s="97"/>
      <c r="DL69" s="97"/>
      <c r="DM69" s="97"/>
      <c r="DN69" s="97"/>
      <c r="DO69" s="97"/>
      <c r="DP69" s="97"/>
      <c r="DQ69" s="97"/>
      <c r="DR69" s="97"/>
      <c r="DS69" s="97"/>
      <c r="DT69" s="97"/>
      <c r="DU69" s="97"/>
      <c r="DV69" s="97"/>
      <c r="DW69" s="97"/>
    </row>
    <row r="70" spans="53:127" x14ac:dyDescent="0.25"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  <c r="BP70" s="97"/>
      <c r="BQ70" s="97"/>
      <c r="BR70" s="97"/>
      <c r="BS70" s="97"/>
      <c r="BT70" s="97"/>
      <c r="BU70" s="97"/>
      <c r="BV70" s="97"/>
      <c r="BW70" s="97"/>
      <c r="BX70" s="97"/>
      <c r="BY70" s="97"/>
      <c r="BZ70" s="97"/>
      <c r="CA70" s="97"/>
      <c r="CB70" s="97"/>
      <c r="CC70" s="97"/>
      <c r="CD70" s="97"/>
      <c r="CE70" s="97"/>
      <c r="CF70" s="97"/>
      <c r="CG70" s="97"/>
      <c r="CH70" s="97"/>
      <c r="CI70" s="97"/>
      <c r="CJ70" s="97"/>
      <c r="CK70" s="97"/>
      <c r="CL70" s="97"/>
      <c r="CM70" s="97"/>
      <c r="CN70" s="97"/>
      <c r="CO70" s="97"/>
      <c r="CP70" s="97"/>
      <c r="CQ70" s="97"/>
      <c r="CR70" s="97"/>
      <c r="CS70" s="97"/>
      <c r="CT70" s="97"/>
      <c r="CU70" s="97"/>
      <c r="CV70" s="97"/>
      <c r="CW70" s="97"/>
      <c r="CX70" s="97"/>
      <c r="CY70" s="97"/>
      <c r="CZ70" s="97"/>
      <c r="DA70" s="97"/>
      <c r="DB70" s="97"/>
      <c r="DC70" s="97"/>
      <c r="DD70" s="97"/>
      <c r="DE70" s="97"/>
      <c r="DF70" s="97"/>
      <c r="DG70" s="97"/>
      <c r="DH70" s="97"/>
      <c r="DI70" s="97"/>
      <c r="DJ70" s="97"/>
      <c r="DK70" s="97"/>
      <c r="DL70" s="97"/>
      <c r="DM70" s="97"/>
      <c r="DN70" s="97"/>
      <c r="DO70" s="97"/>
      <c r="DP70" s="97"/>
      <c r="DQ70" s="97"/>
      <c r="DR70" s="97"/>
      <c r="DS70" s="97"/>
      <c r="DT70" s="97"/>
      <c r="DU70" s="97"/>
      <c r="DV70" s="97"/>
      <c r="DW70" s="97"/>
    </row>
    <row r="71" spans="53:127" x14ac:dyDescent="0.25"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  <c r="BP71" s="97"/>
      <c r="BQ71" s="97"/>
      <c r="BR71" s="97"/>
      <c r="BS71" s="97"/>
      <c r="BT71" s="97"/>
      <c r="BU71" s="97"/>
      <c r="BV71" s="97"/>
      <c r="BW71" s="97"/>
      <c r="BX71" s="97"/>
      <c r="BY71" s="97"/>
      <c r="BZ71" s="97"/>
      <c r="CA71" s="97"/>
      <c r="CB71" s="97"/>
      <c r="CC71" s="97"/>
      <c r="CD71" s="97"/>
      <c r="CE71" s="97"/>
      <c r="CF71" s="97"/>
      <c r="CG71" s="97"/>
      <c r="CH71" s="97"/>
      <c r="CI71" s="97"/>
      <c r="CJ71" s="97"/>
      <c r="CK71" s="97"/>
      <c r="CL71" s="97"/>
      <c r="CM71" s="97"/>
      <c r="CN71" s="97"/>
      <c r="CO71" s="97"/>
      <c r="CP71" s="97"/>
      <c r="CQ71" s="97"/>
      <c r="CR71" s="97"/>
      <c r="CS71" s="97"/>
      <c r="CT71" s="97"/>
      <c r="CU71" s="97"/>
      <c r="CV71" s="97"/>
      <c r="CW71" s="97"/>
      <c r="CX71" s="97"/>
      <c r="CY71" s="97"/>
      <c r="CZ71" s="97"/>
      <c r="DA71" s="97"/>
      <c r="DB71" s="97"/>
      <c r="DC71" s="97"/>
      <c r="DD71" s="97"/>
      <c r="DE71" s="97"/>
      <c r="DF71" s="97"/>
      <c r="DG71" s="97"/>
      <c r="DH71" s="97"/>
      <c r="DI71" s="97"/>
      <c r="DJ71" s="97"/>
      <c r="DK71" s="97"/>
      <c r="DL71" s="97"/>
      <c r="DM71" s="97"/>
      <c r="DN71" s="97"/>
      <c r="DO71" s="97"/>
      <c r="DP71" s="97"/>
      <c r="DQ71" s="97"/>
      <c r="DR71" s="97"/>
      <c r="DS71" s="97"/>
      <c r="DT71" s="97"/>
      <c r="DU71" s="97"/>
      <c r="DV71" s="97"/>
      <c r="DW71" s="97"/>
    </row>
    <row r="72" spans="53:127" x14ac:dyDescent="0.25"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  <c r="BP72" s="97"/>
      <c r="BQ72" s="97"/>
      <c r="BR72" s="97"/>
      <c r="BS72" s="97"/>
      <c r="BT72" s="97"/>
      <c r="BU72" s="97"/>
      <c r="BV72" s="97"/>
      <c r="BW72" s="97"/>
      <c r="BX72" s="97"/>
      <c r="BY72" s="97"/>
      <c r="BZ72" s="97"/>
      <c r="CA72" s="97"/>
      <c r="CB72" s="97"/>
      <c r="CC72" s="97"/>
      <c r="CD72" s="97"/>
      <c r="CE72" s="97"/>
      <c r="CF72" s="97"/>
      <c r="CG72" s="97"/>
      <c r="CH72" s="97"/>
      <c r="CI72" s="97"/>
      <c r="CJ72" s="97"/>
      <c r="CK72" s="97"/>
      <c r="CL72" s="97"/>
      <c r="CM72" s="97"/>
      <c r="CN72" s="97"/>
      <c r="CO72" s="97"/>
      <c r="CP72" s="97"/>
      <c r="CQ72" s="97"/>
      <c r="CR72" s="97"/>
      <c r="CS72" s="97"/>
      <c r="CT72" s="97"/>
      <c r="CU72" s="97"/>
      <c r="CV72" s="97"/>
      <c r="CW72" s="97"/>
      <c r="CX72" s="97"/>
      <c r="CY72" s="97"/>
      <c r="CZ72" s="97"/>
      <c r="DA72" s="97"/>
      <c r="DB72" s="97"/>
      <c r="DC72" s="97"/>
      <c r="DD72" s="97"/>
      <c r="DE72" s="97"/>
      <c r="DF72" s="97"/>
      <c r="DG72" s="97"/>
      <c r="DH72" s="97"/>
      <c r="DI72" s="97"/>
      <c r="DJ72" s="97"/>
      <c r="DK72" s="97"/>
      <c r="DL72" s="97"/>
      <c r="DM72" s="97"/>
      <c r="DN72" s="97"/>
      <c r="DO72" s="97"/>
      <c r="DP72" s="97"/>
      <c r="DQ72" s="97"/>
      <c r="DR72" s="97"/>
      <c r="DS72" s="97"/>
      <c r="DT72" s="97"/>
      <c r="DU72" s="97"/>
      <c r="DV72" s="97"/>
      <c r="DW72" s="97"/>
    </row>
    <row r="73" spans="53:127" x14ac:dyDescent="0.25"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  <c r="BP73" s="97"/>
      <c r="BQ73" s="97"/>
      <c r="BR73" s="97"/>
      <c r="BS73" s="97"/>
      <c r="BT73" s="97"/>
      <c r="BU73" s="97"/>
      <c r="BV73" s="97"/>
      <c r="BW73" s="97"/>
      <c r="BX73" s="97"/>
      <c r="BY73" s="97"/>
      <c r="BZ73" s="97"/>
      <c r="CA73" s="97"/>
      <c r="CB73" s="97"/>
      <c r="CC73" s="97"/>
      <c r="CD73" s="97"/>
      <c r="CE73" s="97"/>
      <c r="CF73" s="97"/>
      <c r="CG73" s="97"/>
      <c r="CH73" s="97"/>
      <c r="CI73" s="97"/>
      <c r="CJ73" s="97"/>
      <c r="CK73" s="97"/>
      <c r="CL73" s="97"/>
      <c r="CM73" s="97"/>
      <c r="CN73" s="97"/>
      <c r="CO73" s="97"/>
      <c r="CP73" s="97"/>
      <c r="CQ73" s="97"/>
      <c r="CR73" s="97"/>
      <c r="CS73" s="97"/>
      <c r="CT73" s="97"/>
      <c r="CU73" s="97"/>
      <c r="CV73" s="97"/>
      <c r="CW73" s="97"/>
      <c r="CX73" s="97"/>
      <c r="CY73" s="97"/>
      <c r="CZ73" s="97"/>
      <c r="DA73" s="97"/>
      <c r="DB73" s="97"/>
      <c r="DC73" s="97"/>
      <c r="DD73" s="97"/>
      <c r="DE73" s="97"/>
      <c r="DF73" s="97"/>
      <c r="DG73" s="97"/>
      <c r="DH73" s="97"/>
      <c r="DI73" s="97"/>
      <c r="DJ73" s="97"/>
      <c r="DK73" s="97"/>
      <c r="DL73" s="97"/>
      <c r="DM73" s="97"/>
      <c r="DN73" s="97"/>
      <c r="DO73" s="97"/>
      <c r="DP73" s="97"/>
      <c r="DQ73" s="97"/>
      <c r="DR73" s="97"/>
      <c r="DS73" s="97"/>
      <c r="DT73" s="97"/>
      <c r="DU73" s="97"/>
      <c r="DV73" s="97"/>
      <c r="DW73" s="97"/>
    </row>
    <row r="74" spans="53:127" x14ac:dyDescent="0.25"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  <c r="BP74" s="97"/>
      <c r="BQ74" s="97"/>
      <c r="BR74" s="97"/>
      <c r="BS74" s="97"/>
      <c r="BT74" s="97"/>
      <c r="BU74" s="97"/>
      <c r="BV74" s="97"/>
      <c r="BW74" s="97"/>
      <c r="BX74" s="97"/>
      <c r="BY74" s="97"/>
      <c r="BZ74" s="97"/>
      <c r="CA74" s="97"/>
      <c r="CB74" s="97"/>
      <c r="CC74" s="97"/>
      <c r="CD74" s="97"/>
      <c r="CE74" s="97"/>
      <c r="CF74" s="97"/>
      <c r="CG74" s="97"/>
      <c r="CH74" s="97"/>
      <c r="CI74" s="97"/>
      <c r="CJ74" s="97"/>
      <c r="CK74" s="97"/>
      <c r="CL74" s="97"/>
      <c r="CM74" s="97"/>
      <c r="CN74" s="97"/>
      <c r="CO74" s="97"/>
      <c r="CP74" s="97"/>
      <c r="CQ74" s="97"/>
      <c r="CR74" s="97"/>
      <c r="CS74" s="97"/>
      <c r="CT74" s="97"/>
      <c r="CU74" s="97"/>
      <c r="CV74" s="97"/>
      <c r="CW74" s="97"/>
      <c r="CX74" s="97"/>
      <c r="CY74" s="97"/>
      <c r="CZ74" s="97"/>
      <c r="DA74" s="97"/>
      <c r="DB74" s="97"/>
      <c r="DC74" s="97"/>
      <c r="DD74" s="97"/>
      <c r="DE74" s="97"/>
      <c r="DF74" s="97"/>
      <c r="DG74" s="97"/>
      <c r="DH74" s="97"/>
      <c r="DI74" s="97"/>
      <c r="DJ74" s="97"/>
      <c r="DK74" s="97"/>
      <c r="DL74" s="97"/>
      <c r="DM74" s="97"/>
      <c r="DN74" s="97"/>
      <c r="DO74" s="97"/>
      <c r="DP74" s="97"/>
      <c r="DQ74" s="97"/>
      <c r="DR74" s="97"/>
      <c r="DS74" s="97"/>
      <c r="DT74" s="97"/>
      <c r="DU74" s="97"/>
      <c r="DV74" s="97"/>
      <c r="DW74" s="97"/>
    </row>
    <row r="75" spans="53:127" x14ac:dyDescent="0.25"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  <c r="BP75" s="97"/>
      <c r="BQ75" s="97"/>
      <c r="BR75" s="97"/>
      <c r="BS75" s="97"/>
      <c r="BT75" s="97"/>
      <c r="BU75" s="97"/>
      <c r="BV75" s="97"/>
      <c r="BW75" s="97"/>
      <c r="BX75" s="97"/>
      <c r="BY75" s="97"/>
      <c r="BZ75" s="97"/>
      <c r="CA75" s="97"/>
      <c r="CB75" s="97"/>
      <c r="CC75" s="97"/>
      <c r="CD75" s="97"/>
      <c r="CE75" s="97"/>
      <c r="CF75" s="97"/>
      <c r="CG75" s="97"/>
      <c r="CH75" s="97"/>
      <c r="CI75" s="97"/>
      <c r="CJ75" s="97"/>
      <c r="CK75" s="97"/>
      <c r="CL75" s="97"/>
      <c r="CM75" s="97"/>
      <c r="CN75" s="97"/>
      <c r="CO75" s="97"/>
      <c r="CP75" s="97"/>
      <c r="CQ75" s="97"/>
      <c r="CR75" s="97"/>
      <c r="CS75" s="97"/>
      <c r="CT75" s="97"/>
      <c r="CU75" s="97"/>
      <c r="CV75" s="97"/>
      <c r="CW75" s="97"/>
      <c r="CX75" s="97"/>
      <c r="CY75" s="97"/>
      <c r="CZ75" s="97"/>
      <c r="DA75" s="97"/>
      <c r="DB75" s="97"/>
      <c r="DC75" s="97"/>
      <c r="DD75" s="97"/>
      <c r="DE75" s="97"/>
      <c r="DF75" s="97"/>
      <c r="DG75" s="97"/>
      <c r="DH75" s="97"/>
      <c r="DI75" s="97"/>
      <c r="DJ75" s="97"/>
      <c r="DK75" s="97"/>
      <c r="DL75" s="97"/>
      <c r="DM75" s="97"/>
      <c r="DN75" s="97"/>
      <c r="DO75" s="97"/>
      <c r="DP75" s="97"/>
      <c r="DQ75" s="97"/>
      <c r="DR75" s="97"/>
      <c r="DS75" s="97"/>
      <c r="DT75" s="97"/>
      <c r="DU75" s="97"/>
      <c r="DV75" s="97"/>
      <c r="DW75" s="97"/>
    </row>
    <row r="76" spans="53:127" x14ac:dyDescent="0.25"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  <c r="BP76" s="97"/>
      <c r="BQ76" s="97"/>
      <c r="BR76" s="97"/>
      <c r="BS76" s="97"/>
      <c r="BT76" s="97"/>
      <c r="BU76" s="97"/>
      <c r="BV76" s="97"/>
      <c r="BW76" s="97"/>
      <c r="BX76" s="97"/>
      <c r="BY76" s="97"/>
      <c r="BZ76" s="97"/>
      <c r="CA76" s="97"/>
      <c r="CB76" s="97"/>
      <c r="CC76" s="97"/>
      <c r="CD76" s="97"/>
      <c r="CE76" s="97"/>
      <c r="CF76" s="97"/>
      <c r="CG76" s="97"/>
      <c r="CH76" s="97"/>
      <c r="CI76" s="97"/>
      <c r="CJ76" s="97"/>
      <c r="CK76" s="97"/>
      <c r="CL76" s="97"/>
      <c r="CM76" s="97"/>
      <c r="CN76" s="97"/>
      <c r="CO76" s="97"/>
      <c r="CP76" s="97"/>
      <c r="CQ76" s="97"/>
      <c r="CR76" s="97"/>
      <c r="CS76" s="97"/>
      <c r="CT76" s="97"/>
      <c r="CU76" s="97"/>
      <c r="CV76" s="97"/>
      <c r="CW76" s="97"/>
      <c r="CX76" s="97"/>
      <c r="CY76" s="97"/>
      <c r="CZ76" s="97"/>
      <c r="DA76" s="97"/>
      <c r="DB76" s="97"/>
      <c r="DC76" s="97"/>
      <c r="DD76" s="97"/>
      <c r="DE76" s="97"/>
      <c r="DF76" s="97"/>
      <c r="DG76" s="97"/>
      <c r="DH76" s="97"/>
      <c r="DI76" s="97"/>
      <c r="DJ76" s="97"/>
      <c r="DK76" s="97"/>
      <c r="DL76" s="97"/>
      <c r="DM76" s="97"/>
      <c r="DN76" s="97"/>
      <c r="DO76" s="97"/>
      <c r="DP76" s="97"/>
      <c r="DQ76" s="97"/>
      <c r="DR76" s="97"/>
      <c r="DS76" s="97"/>
      <c r="DT76" s="97"/>
      <c r="DU76" s="97"/>
      <c r="DV76" s="97"/>
      <c r="DW76" s="97"/>
    </row>
    <row r="77" spans="53:127" x14ac:dyDescent="0.25"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  <c r="BP77" s="97"/>
      <c r="BQ77" s="97"/>
      <c r="BR77" s="97"/>
      <c r="BS77" s="97"/>
      <c r="BT77" s="97"/>
      <c r="BU77" s="97"/>
      <c r="BV77" s="97"/>
      <c r="BW77" s="97"/>
      <c r="BX77" s="97"/>
      <c r="BY77" s="97"/>
      <c r="BZ77" s="97"/>
      <c r="CA77" s="97"/>
      <c r="CB77" s="97"/>
      <c r="CC77" s="97"/>
      <c r="CD77" s="97"/>
      <c r="CE77" s="97"/>
      <c r="CF77" s="97"/>
      <c r="CG77" s="97"/>
      <c r="CH77" s="97"/>
      <c r="CI77" s="97"/>
      <c r="CJ77" s="97"/>
      <c r="CK77" s="97"/>
      <c r="CL77" s="97"/>
      <c r="CM77" s="97"/>
      <c r="CN77" s="97"/>
      <c r="CO77" s="97"/>
      <c r="CP77" s="97"/>
      <c r="CQ77" s="97"/>
      <c r="CR77" s="97"/>
      <c r="CS77" s="97"/>
      <c r="CT77" s="97"/>
      <c r="CU77" s="97"/>
      <c r="CV77" s="97"/>
      <c r="CW77" s="97"/>
      <c r="CX77" s="97"/>
      <c r="CY77" s="97"/>
      <c r="CZ77" s="97"/>
      <c r="DA77" s="97"/>
      <c r="DB77" s="97"/>
      <c r="DC77" s="97"/>
      <c r="DD77" s="97"/>
      <c r="DE77" s="97"/>
      <c r="DF77" s="97"/>
      <c r="DG77" s="97"/>
      <c r="DH77" s="97"/>
      <c r="DI77" s="97"/>
      <c r="DJ77" s="97"/>
      <c r="DK77" s="97"/>
      <c r="DL77" s="97"/>
      <c r="DM77" s="97"/>
      <c r="DN77" s="97"/>
      <c r="DO77" s="97"/>
      <c r="DP77" s="97"/>
      <c r="DQ77" s="97"/>
      <c r="DR77" s="97"/>
      <c r="DS77" s="97"/>
      <c r="DT77" s="97"/>
      <c r="DU77" s="97"/>
      <c r="DV77" s="97"/>
      <c r="DW77" s="97"/>
    </row>
    <row r="78" spans="53:127" x14ac:dyDescent="0.25"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  <c r="BP78" s="97"/>
      <c r="BQ78" s="97"/>
      <c r="BR78" s="97"/>
      <c r="BS78" s="97"/>
      <c r="BT78" s="97"/>
      <c r="BU78" s="97"/>
      <c r="BV78" s="97"/>
      <c r="BW78" s="97"/>
      <c r="BX78" s="97"/>
      <c r="BY78" s="97"/>
      <c r="BZ78" s="97"/>
      <c r="CA78" s="97"/>
      <c r="CB78" s="97"/>
      <c r="CC78" s="97"/>
      <c r="CD78" s="97"/>
      <c r="CE78" s="97"/>
      <c r="CF78" s="97"/>
      <c r="CG78" s="97"/>
      <c r="CH78" s="97"/>
      <c r="CI78" s="97"/>
      <c r="CJ78" s="97"/>
      <c r="CK78" s="97"/>
      <c r="CL78" s="97"/>
      <c r="CM78" s="97"/>
      <c r="CN78" s="97"/>
      <c r="CO78" s="97"/>
      <c r="CP78" s="97"/>
      <c r="CQ78" s="97"/>
      <c r="CR78" s="97"/>
      <c r="CS78" s="97"/>
      <c r="CT78" s="97"/>
      <c r="CU78" s="97"/>
      <c r="CV78" s="97"/>
      <c r="CW78" s="97"/>
      <c r="CX78" s="97"/>
      <c r="CY78" s="97"/>
      <c r="CZ78" s="97"/>
      <c r="DA78" s="97"/>
      <c r="DB78" s="97"/>
      <c r="DC78" s="97"/>
      <c r="DD78" s="97"/>
      <c r="DE78" s="97"/>
      <c r="DF78" s="97"/>
      <c r="DG78" s="97"/>
      <c r="DH78" s="97"/>
      <c r="DI78" s="97"/>
      <c r="DJ78" s="97"/>
      <c r="DK78" s="97"/>
      <c r="DL78" s="97"/>
      <c r="DM78" s="97"/>
      <c r="DN78" s="97"/>
      <c r="DO78" s="97"/>
      <c r="DP78" s="97"/>
      <c r="DQ78" s="97"/>
      <c r="DR78" s="97"/>
      <c r="DS78" s="97"/>
      <c r="DT78" s="97"/>
      <c r="DU78" s="97"/>
      <c r="DV78" s="97"/>
      <c r="DW78" s="97"/>
    </row>
  </sheetData>
  <mergeCells count="231">
    <mergeCell ref="E48:E51"/>
    <mergeCell ref="G50:H50"/>
    <mergeCell ref="G48:H48"/>
    <mergeCell ref="G49:H49"/>
    <mergeCell ref="G51:H51"/>
    <mergeCell ref="F48:F51"/>
    <mergeCell ref="B35:B36"/>
    <mergeCell ref="E35:E36"/>
    <mergeCell ref="F35:F36"/>
    <mergeCell ref="G35:G36"/>
    <mergeCell ref="E33:H33"/>
    <mergeCell ref="E34:H34"/>
    <mergeCell ref="H35:H36"/>
    <mergeCell ref="AK45:AN45"/>
    <mergeCell ref="Y38:AB38"/>
    <mergeCell ref="AC38:AF38"/>
    <mergeCell ref="AK35:AN36"/>
    <mergeCell ref="AG50:AJ50"/>
    <mergeCell ref="AC50:AF50"/>
    <mergeCell ref="Y50:AB50"/>
    <mergeCell ref="U50:X50"/>
    <mergeCell ref="Q50:T50"/>
    <mergeCell ref="M50:P50"/>
    <mergeCell ref="AK49:AN49"/>
    <mergeCell ref="AK50:AN50"/>
    <mergeCell ref="AK46:AN46"/>
    <mergeCell ref="AG46:AJ46"/>
    <mergeCell ref="AC46:AF46"/>
    <mergeCell ref="Y46:AB46"/>
    <mergeCell ref="AK48:AN48"/>
    <mergeCell ref="AH28:AI29"/>
    <mergeCell ref="AJ30:AK31"/>
    <mergeCell ref="AB30:AC31"/>
    <mergeCell ref="AD28:AE29"/>
    <mergeCell ref="AF30:AG31"/>
    <mergeCell ref="L30:M31"/>
    <mergeCell ref="N28:O29"/>
    <mergeCell ref="P26:Q27"/>
    <mergeCell ref="P30:Q31"/>
    <mergeCell ref="R28:S29"/>
    <mergeCell ref="T30:U31"/>
    <mergeCell ref="V28:W29"/>
    <mergeCell ref="C43:D43"/>
    <mergeCell ref="C44:D44"/>
    <mergeCell ref="C45:D45"/>
    <mergeCell ref="Z20:AA21"/>
    <mergeCell ref="AB22:AC23"/>
    <mergeCell ref="AB26:AC27"/>
    <mergeCell ref="AF26:AG27"/>
    <mergeCell ref="Z24:AA25"/>
    <mergeCell ref="AD24:AE25"/>
    <mergeCell ref="Z28:AA29"/>
    <mergeCell ref="V20:W21"/>
    <mergeCell ref="T22:U23"/>
    <mergeCell ref="T26:U27"/>
    <mergeCell ref="R24:S25"/>
    <mergeCell ref="V24:W25"/>
    <mergeCell ref="AC35:AF36"/>
    <mergeCell ref="AG35:AJ36"/>
    <mergeCell ref="C38:D38"/>
    <mergeCell ref="C39:D39"/>
    <mergeCell ref="C40:D40"/>
    <mergeCell ref="C41:D41"/>
    <mergeCell ref="C42:D42"/>
    <mergeCell ref="Y35:AB36"/>
    <mergeCell ref="I35:L36"/>
    <mergeCell ref="M35:P36"/>
    <mergeCell ref="Q35:T36"/>
    <mergeCell ref="U35:X36"/>
    <mergeCell ref="I39:L39"/>
    <mergeCell ref="I40:L40"/>
    <mergeCell ref="I41:L41"/>
    <mergeCell ref="I42:L42"/>
    <mergeCell ref="I50:L50"/>
    <mergeCell ref="I51:L51"/>
    <mergeCell ref="M37:P37"/>
    <mergeCell ref="Q37:T37"/>
    <mergeCell ref="M39:P39"/>
    <mergeCell ref="Q39:T39"/>
    <mergeCell ref="M41:P41"/>
    <mergeCell ref="Q41:T41"/>
    <mergeCell ref="I43:L43"/>
    <mergeCell ref="I44:L44"/>
    <mergeCell ref="I45:L45"/>
    <mergeCell ref="I46:L46"/>
    <mergeCell ref="I48:L48"/>
    <mergeCell ref="I49:L49"/>
    <mergeCell ref="I37:L37"/>
    <mergeCell ref="I38:L38"/>
    <mergeCell ref="AG38:AJ38"/>
    <mergeCell ref="AK38:AN38"/>
    <mergeCell ref="AK37:AN37"/>
    <mergeCell ref="M38:P38"/>
    <mergeCell ref="Q38:T38"/>
    <mergeCell ref="U38:X38"/>
    <mergeCell ref="Y37:AB37"/>
    <mergeCell ref="AC37:AF37"/>
    <mergeCell ref="AG37:AJ37"/>
    <mergeCell ref="U37:X37"/>
    <mergeCell ref="AK40:AN40"/>
    <mergeCell ref="AK39:AN39"/>
    <mergeCell ref="M40:P40"/>
    <mergeCell ref="Q40:T40"/>
    <mergeCell ref="U40:X40"/>
    <mergeCell ref="Y39:AB39"/>
    <mergeCell ref="AC39:AF39"/>
    <mergeCell ref="AG39:AJ39"/>
    <mergeCell ref="U39:X39"/>
    <mergeCell ref="Y41:AB41"/>
    <mergeCell ref="AC41:AF41"/>
    <mergeCell ref="AG41:AJ41"/>
    <mergeCell ref="U41:X41"/>
    <mergeCell ref="Y40:AB40"/>
    <mergeCell ref="AC40:AF40"/>
    <mergeCell ref="AG40:AJ40"/>
    <mergeCell ref="Y42:AB42"/>
    <mergeCell ref="AC42:AF42"/>
    <mergeCell ref="AG42:AJ42"/>
    <mergeCell ref="AK47:AN47"/>
    <mergeCell ref="Y47:AB47"/>
    <mergeCell ref="M51:P51"/>
    <mergeCell ref="Q51:T51"/>
    <mergeCell ref="U51:X51"/>
    <mergeCell ref="Y48:AB48"/>
    <mergeCell ref="M48:P48"/>
    <mergeCell ref="Q48:T48"/>
    <mergeCell ref="U48:X48"/>
    <mergeCell ref="AC48:AF48"/>
    <mergeCell ref="AG48:AJ48"/>
    <mergeCell ref="M49:P49"/>
    <mergeCell ref="Q49:T49"/>
    <mergeCell ref="U49:X49"/>
    <mergeCell ref="Y49:AB49"/>
    <mergeCell ref="AC49:AF49"/>
    <mergeCell ref="AG49:AJ49"/>
    <mergeCell ref="C34:D34"/>
    <mergeCell ref="C33:D33"/>
    <mergeCell ref="I47:L47"/>
    <mergeCell ref="M47:P47"/>
    <mergeCell ref="Q47:T47"/>
    <mergeCell ref="U47:X47"/>
    <mergeCell ref="I33:L33"/>
    <mergeCell ref="I34:L34"/>
    <mergeCell ref="M33:P33"/>
    <mergeCell ref="Q33:T33"/>
    <mergeCell ref="M45:P45"/>
    <mergeCell ref="Q45:T45"/>
    <mergeCell ref="U45:X45"/>
    <mergeCell ref="M46:P46"/>
    <mergeCell ref="M44:P44"/>
    <mergeCell ref="Q44:T44"/>
    <mergeCell ref="U44:X44"/>
    <mergeCell ref="M43:P43"/>
    <mergeCell ref="Q43:T43"/>
    <mergeCell ref="U43:X43"/>
    <mergeCell ref="M42:P42"/>
    <mergeCell ref="Q42:T42"/>
    <mergeCell ref="U42:X42"/>
    <mergeCell ref="C37:D37"/>
    <mergeCell ref="H25:H26"/>
    <mergeCell ref="H27:H28"/>
    <mergeCell ref="H29:H30"/>
    <mergeCell ref="E25:G26"/>
    <mergeCell ref="E27:G28"/>
    <mergeCell ref="E29:G30"/>
    <mergeCell ref="U33:X33"/>
    <mergeCell ref="M34:P34"/>
    <mergeCell ref="Q34:T34"/>
    <mergeCell ref="U34:X34"/>
    <mergeCell ref="E5:H6"/>
    <mergeCell ref="E7:G8"/>
    <mergeCell ref="H7:H8"/>
    <mergeCell ref="E9:G10"/>
    <mergeCell ref="H9:H10"/>
    <mergeCell ref="E11:G12"/>
    <mergeCell ref="H11:H12"/>
    <mergeCell ref="E23:H24"/>
    <mergeCell ref="E14:H15"/>
    <mergeCell ref="E16:G17"/>
    <mergeCell ref="H16:H17"/>
    <mergeCell ref="E18:G19"/>
    <mergeCell ref="H18:H19"/>
    <mergeCell ref="E20:G21"/>
    <mergeCell ref="H20:H21"/>
    <mergeCell ref="J61:P61"/>
    <mergeCell ref="J62:P62"/>
    <mergeCell ref="AO34:AW34"/>
    <mergeCell ref="AW35:AW36"/>
    <mergeCell ref="AX35:AX36"/>
    <mergeCell ref="AS35:AS36"/>
    <mergeCell ref="AT35:AT36"/>
    <mergeCell ref="AU35:AU36"/>
    <mergeCell ref="AV35:AV36"/>
    <mergeCell ref="AO35:AO36"/>
    <mergeCell ref="AP35:AP36"/>
    <mergeCell ref="AQ35:AQ36"/>
    <mergeCell ref="AR35:AR36"/>
    <mergeCell ref="Y51:AB51"/>
    <mergeCell ref="AC51:AF51"/>
    <mergeCell ref="AG51:AJ51"/>
    <mergeCell ref="AK51:AN51"/>
    <mergeCell ref="AK34:AN34"/>
    <mergeCell ref="Y34:AB34"/>
    <mergeCell ref="AC34:AF34"/>
    <mergeCell ref="AG34:AJ34"/>
    <mergeCell ref="AC47:AF47"/>
    <mergeCell ref="AG47:AJ47"/>
    <mergeCell ref="AR37:AR45"/>
    <mergeCell ref="X22:Y23"/>
    <mergeCell ref="X18:Y19"/>
    <mergeCell ref="X26:Y27"/>
    <mergeCell ref="X30:Y31"/>
    <mergeCell ref="Q46:T46"/>
    <mergeCell ref="U46:X46"/>
    <mergeCell ref="AK33:AN33"/>
    <mergeCell ref="AG33:AJ33"/>
    <mergeCell ref="AC33:AF33"/>
    <mergeCell ref="Y33:AB33"/>
    <mergeCell ref="Y45:AB45"/>
    <mergeCell ref="AC45:AF45"/>
    <mergeCell ref="AG45:AJ45"/>
    <mergeCell ref="AC44:AF44"/>
    <mergeCell ref="Y44:AB44"/>
    <mergeCell ref="AC43:AF43"/>
    <mergeCell ref="AG43:AJ43"/>
    <mergeCell ref="AK43:AN43"/>
    <mergeCell ref="Y43:AB43"/>
    <mergeCell ref="AG44:AJ44"/>
    <mergeCell ref="AK44:AN44"/>
    <mergeCell ref="AK42:AN42"/>
    <mergeCell ref="AK41:AN41"/>
  </mergeCells>
  <dataValidations count="4">
    <dataValidation type="list" allowBlank="1" showInputMessage="1" showErrorMessage="1" sqref="C32" xr:uid="{00000000-0002-0000-0000-000000000000}">
      <formula1>$AQ$26:$AQ$32</formula1>
    </dataValidation>
    <dataValidation type="list" allowBlank="1" showInputMessage="1" showErrorMessage="1" sqref="Z20:AA21 X30 X18 X26 X22 P26:Q27 AB22:AC23 AD24:AE25 Z24:AA25 AJ30:AK31 AN30:AN31 AF30:AG31 AH28:AI29 AB30:AC31 AD28:AE29 Z28:AA29 L30:M31 V20:W21 V24:W25 AF26:AG27 AB26:AC27 T22:U23 R24:S25 N28:O29 V28:W29 T26:U27 P30:Q31 R28:S29 T30:U31" xr:uid="{00000000-0002-0000-0000-000001000000}">
      <formula1>$H$7:$H$9</formula1>
    </dataValidation>
    <dataValidation type="list" allowBlank="1" showInputMessage="1" showErrorMessage="1" sqref="I34:AN34" xr:uid="{00000000-0002-0000-0000-000002000000}">
      <formula1>$H$25:$H$29</formula1>
    </dataValidation>
    <dataValidation type="list" allowBlank="1" showInputMessage="1" showErrorMessage="1" sqref="BE49:BL57 I37:AN45" xr:uid="{00000000-0002-0000-0000-000003000000}">
      <formula1>$H$16:$H$20</formula1>
    </dataValidation>
  </dataValidations>
  <printOptions horizontalCentered="1" verticalCentered="1"/>
  <pageMargins left="0.5" right="0.5" top="0.5" bottom="0.5" header="0" footer="0"/>
  <pageSetup scale="3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2DAE-5041-480B-922A-9BDD9E5593C5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 of Quality</vt:lpstr>
      <vt:lpstr>Sheet2</vt:lpstr>
    </vt:vector>
  </TitlesOfParts>
  <Company>Start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Battles</dc:creator>
  <cp:lastModifiedBy>MacrosoftSpywareXP</cp:lastModifiedBy>
  <cp:lastPrinted>2010-04-23T19:28:38Z</cp:lastPrinted>
  <dcterms:created xsi:type="dcterms:W3CDTF">2010-04-21T17:36:06Z</dcterms:created>
  <dcterms:modified xsi:type="dcterms:W3CDTF">2020-10-01T18:56:06Z</dcterms:modified>
</cp:coreProperties>
</file>